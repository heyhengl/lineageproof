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25a869262344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" sheetId="1" r:id="Rc1dfe6ec81be4153"/>
    <x:sheet xmlns:r="http://schemas.openxmlformats.org/officeDocument/2006/relationships" name="Priority View" sheetId="2" r:id="Rcecdb9907d9545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hh:mm"/>
    <x:numFmt numFmtId="202" formatCode="yyyy-mm-dd hh:mm"/>
    <x:numFmt numFmtId="203" formatCode=";;;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405467"/>
      <x:name val="Carlito"/>
    </x:font>
    <x:font>
      <x:sz val="10"/>
      <x:color rgb="FF526577"/>
      <x:name val="Carlito"/>
    </x:font>
    <x:font>
      <x:b/>
      <x:sz val="13"/>
      <x:color rgb="FF0B6E75"/>
      <x:name val="Carlito"/>
    </x:font>
    <x:font>
      <x:b/>
      <x:sz val="11"/>
      <x:color rgb="FFFFFFFF"/>
      <x:name val="Carlito"/>
    </x:font>
    <x:font>
      <x:sz val="10"/>
      <x:color rgb="FF24374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EDF3F7"/>
      </x:patternFill>
    </x:fill>
    <x:fill>
      <x:patternFill patternType="solid">
        <x:fgColor rgb="FFFFFFFF"/>
      </x:patternFill>
    </x:fill>
    <x:fill>
      <x:patternFill patternType="solid">
        <x:fgColor rgb="FF0B6E75"/>
      </x:patternFill>
    </x:fill>
  </x:fills>
  <x:borders count="8">
    <x:border/>
    <x:border>
      <x:bottom style="double">
        <x:color rgb="FFB8C5CF"/>
      </x:bottom>
    </x:border>
    <x:border>
      <x:left style="thin">
        <x:color rgb="FF0B6E75"/>
      </x:left>
      <x:top style="thin">
        <x:color rgb="FF0B6E75"/>
      </x:top>
      <x:bottom style="thin">
        <x:color rgb="FF0B6E75"/>
      </x:bottom>
    </x:border>
    <x:border>
      <x:top style="thin">
        <x:color rgb="FF0B6E75"/>
      </x:top>
      <x:bottom style="thin">
        <x:color rgb="FF0B6E75"/>
      </x:bottom>
    </x:border>
    <x:border>
      <x:right style="thin">
        <x:color rgb="FF0B6E75"/>
      </x:right>
      <x:top style="thin">
        <x:color rgb="FF0B6E75"/>
      </x:top>
      <x:bottom style="thin">
        <x:color rgb="FF0B6E75"/>
      </x:bottom>
    </x:border>
    <x:border>
      <x:bottom style="thin">
        <x:color rgb="FFE2E8EC"/>
      </x:bottom>
    </x:border>
    <x:border>
      <x:top style="thin">
        <x:color rgb="FFE2E8EC"/>
      </x:top>
      <x:bottom style="thin">
        <x:color rgb="FFE2E8EC"/>
      </x:bottom>
    </x:border>
    <x:border>
      <x:top style="thin">
        <x:color rgb="FFE2E8EC"/>
      </x:top>
      <x:bottom style="thin">
        <x:color rgb="FFD6DEE4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202" fontId="6" fillId="0" borderId="5" xfId="0" applyNumberFormat="1" applyFont="1" applyFill="1" applyBorder="1" applyAlignment="1">
      <x:alignment vertical="center"/>
    </x:xf>
    <x:xf numFmtId="202" fontId="6" fillId="0" borderId="6" xfId="0" applyNumberFormat="1" applyFont="1" applyFill="1" applyBorder="1" applyAlignment="1">
      <x:alignment vertical="center"/>
    </x:xf>
    <x:xf numFmtId="202" fontId="6" fillId="0" borderId="7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ont>
        <x:color rgb="FF9B2C2C"/>
      </x:font>
      <x:fill>
        <x:patternFill patternType="solid">
          <x:bgColor rgb="FFFDE8E7"/>
        </x:patternFill>
      </x:fill>
    </x:dxf>
    <x:dxf>
      <x:font>
        <x:color rgb="FF7A4A00"/>
      </x:font>
      <x:fill>
        <x:patternFill patternType="solid">
          <x:bgColor rgb="FFFFF3D6"/>
        </x:patternFill>
      </x:fill>
    </x:dxf>
    <x:dxf>
      <x:font>
        <x:i/>
        <x:color rgb="FF7A8791"/>
      </x:font>
      <x:fill>
        <x:patternFill patternType="solid">
          <x:bgColor rgb="FFEEF1F3"/>
        </x:patternFill>
      </x:fill>
    </x:dxf>
    <x:dxf>
      <x:font>
        <x:b/>
        <x:color rgb="FFB42318"/>
      </x:font>
    </x:dxf>
    <x:dxf>
      <x:font>
        <x:color rgb="FF9B2C2C"/>
      </x:font>
      <x:fill>
        <x:patternFill patternType="solid">
          <x:bgColor rgb="FFFDE8E7"/>
        </x:patternFill>
      </x:fill>
    </x:dxf>
    <x:dxf>
      <x:font>
        <x:color rgb="FF7A4A00"/>
      </x:font>
      <x:fill>
        <x:patternFill patternType="solid">
          <x:bgColor rgb="FFFFF3D6"/>
        </x:patternFill>
      </x:fill>
    </x:dxf>
    <x:dxf>
      <x:font>
        <x:i/>
        <x:color rgb="FF7A8791"/>
      </x:font>
      <x:fill>
        <x:patternFill patternType="solid">
          <x:bgColor rgb="FFEEF1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0ff198e1a8491d" /><Relationship Type="http://schemas.openxmlformats.org/officeDocument/2006/relationships/theme" Target="/xl/theme/theme1.xml" Id="R33c9407805784fc8" /><Relationship Type="http://schemas.openxmlformats.org/officeDocument/2006/relationships/sharedStrings" Target="/xl/sharedStrings.xml" Id="Rc21f839afee4468a" /><Relationship Type="http://schemas.openxmlformats.org/officeDocument/2006/relationships/worksheet" Target="/xl/worksheets/sheet1.xml" Id="Rc1dfe6ec81be4153" /><Relationship Type="http://schemas.openxmlformats.org/officeDocument/2006/relationships/worksheet" Target="/xl/worksheets/sheet2.xml" Id="Rcecdb9907d95457b" /></Relationships>
</file>

<file path=xl/tables/table1.xml><?xml version="1.0" encoding="utf-8"?>
<x:table xmlns:x="http://schemas.openxmlformats.org/spreadsheetml/2006/main" id="1" name="DailyTasks" displayName="DailyTasks" ref="A5:G45" headerRowCount="1" totalsRowCount="0" totalsRowShown="0">
  <x:autoFilter ref="A5:G45"/>
  <x:tableColumns count="7">
    <x:tableColumn id="1" name="Priority"/>
    <x:tableColumn id="2" name="Task Description"/>
    <x:tableColumn id="3" name="Deadline Date"/>
    <x:tableColumn id="4" name="Deadline Time"/>
    <x:tableColumn id="5" name="Status"/>
    <x:tableColumn id="6" name="Due At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6dcb5774dd44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600004196167" hidden="0" customWidth="1"/>
    <x:col min="2" max="2" width="28.329999923706055" hidden="0" customWidth="1"/>
    <x:col min="3" max="3" width="14.4399995803833" hidden="0" customWidth="1"/>
    <x:col min="4" max="4" width="13.109999656677246" hidden="0" customWidth="1"/>
    <x:col min="5" max="5" width="13.5600004196167" hidden="0" customWidth="1"/>
    <x:col min="6" max="6" width="16.670000076293945" hidden="0" customWidth="1"/>
    <x:col min="7" max="7" width="26.110000610351562" hidden="0" customWidth="1"/>
    <x:col min="8" max="8" width="0.2199999988079071" hidden="0" customWidth="1"/>
  </x:cols>
  <x:sheetData>
    <x:row r="1" ht="27" customHeight="1">
      <x:c r="A1" s="3" t="str">
        <x:v>DAILY PRIORITY TASK SHEET</x:v>
      </x:c>
      <x:c r="B1" s="3"/>
      <x:c r="C1" s="3"/>
      <x:c r="D1" s="3"/>
      <x:c r="E1" s="3"/>
      <x:c r="F1" s="3"/>
      <x:c r="G1" s="3"/>
      <x:c r="H1" s="3"/>
    </x:row>
    <x:row r="2" ht="31.5" customHeight="1">
      <x:c r="A2" s="7" t="str">
        <x:v>Add a task, choose its priority and status, then set a deadline. The Priority View updates automatically; overdue and earlier deadlines rise first.</x:v>
      </x:c>
      <x:c r="B2" s="7"/>
      <x:c r="C2" s="7"/>
      <x:c r="D2" s="7"/>
      <x:c r="E2" s="7"/>
      <x:c r="F2" s="7"/>
      <x:c r="G2" s="7"/>
      <x:c r="H2" s="7"/>
    </x:row>
    <x:row r="3" ht="22.5" customHeight="1">
      <x:c r="A3" s="11" t="str">
        <x:v>Open tasks</x:v>
      </x:c>
      <x:c r="B3" s="13" t="n">
        <x:f>COUNTIFS($B$6:$B$45,"&lt;&gt;",$E$6:$E$45,"&lt;&gt;Done")</x:f>
        <x:v>3</x:v>
      </x:c>
      <x:c r="C3" s="11" t="str">
        <x:v>Overdue</x:v>
      </x:c>
      <x:c r="D3" s="11" t="n">
        <x:f>COUNTIFS($B$6:$B$45,"&lt;&gt;",$E$6:$E$45,"&lt;&gt;Done",$F$6:$F$45,"&lt;"&amp;NOW())</x:f>
        <x:v>0</x:v>
      </x:c>
      <x:c r="E3" s="11" t="str">
        <x:v>Due today</x:v>
      </x:c>
      <x:c r="F3" s="11" t="n">
        <x:f>COUNTIFS($B$6:$B$45,"&lt;&gt;",$E$6:$E$45,"&lt;&gt;Done",$F$6:$F$45,"&gt;="&amp;TODAY(),$F$6:$F$45,"&lt;"&amp;TODAY()+1)</x:f>
        <x:v>2</x:v>
      </x:c>
      <x:c r="G3" s="11" t="str">
        <x:v>Completed</x:v>
      </x:c>
      <x:c r="H3" s="11" t="n">
        <x:f>COUNTIFS($B$6:$B$45,"&lt;&gt;",$E$6:$E$45,"Done")</x:f>
        <x:v>1</x:v>
      </x:c>
    </x:row>
    <x:row r="4">
      <x:c r="A4" s="24"/>
      <x:c r="B4" s="24"/>
      <x:c r="C4" s="24"/>
      <x:c r="D4" s="24"/>
      <x:c r="E4" s="24"/>
      <x:c r="F4" s="24"/>
      <x:c r="G4" s="24"/>
      <x:c r="H4" s="24"/>
    </x:row>
    <x:row r="5" ht="21" customHeight="1">
      <x:c r="A5" s="16" t="str">
        <x:v>Priority</x:v>
      </x:c>
      <x:c r="B5" s="16" t="str">
        <x:v>Task Description</x:v>
      </x:c>
      <x:c r="C5" s="16" t="str">
        <x:v>Deadline Date</x:v>
      </x:c>
      <x:c r="D5" s="16" t="str">
        <x:v>Deadline Time</x:v>
      </x:c>
      <x:c r="E5" s="16" t="str">
        <x:v>Status</x:v>
      </x:c>
      <x:c r="F5" s="16" t="str">
        <x:v>Due At</x:v>
      </x:c>
      <x:c r="G5" s="16" t="str">
        <x:v>Notes</x:v>
      </x:c>
      <x:c r="H5" s="24"/>
    </x:row>
    <x:row r="6" ht="19.5" customHeight="1">
      <x:c r="A6" s="18" t="str">
        <x:v>High</x:v>
      </x:c>
      <x:c r="B6" s="22" t="str">
        <x:v>Send revised client brief</x:v>
      </x:c>
      <x:c r="C6" s="19" t="n">
        <x:v>46228</x:v>
      </x:c>
      <x:c r="D6" s="20" t="n">
        <x:v>0.6875</x:v>
      </x:c>
      <x:c r="E6" s="18" t="str">
        <x:v>In Progress</x:v>
      </x:c>
      <x:c r="F6" s="21" t="n">
        <x:f>IF(C6="","",C6+IF(D6="",0,D6))</x:f>
        <x:v>46228.6875</x:v>
      </x:c>
      <x:c r="G6" s="22" t="str">
        <x:v>Waiting on final wording</x:v>
      </x:c>
      <x:c r="H6" s="23" t="n">
        <x:f>IF(B6="",9999999+ROW(),IF(E6="Done",999999,IF(F6&lt;NOW(),0,IF(INT(F6)=TODAY(),100,(INT(F6)-TODAY()+1)*100))+IF(A6="High",1,IF(A6="Medium",2,3))+ROW()/1000))</x:f>
        <x:v>101.006</x:v>
      </x:c>
    </x:row>
    <x:row r="7" ht="19.5" customHeight="1">
      <x:c r="A7" s="18" t="str">
        <x:v>High</x:v>
      </x:c>
      <x:c r="B7" s="22" t="str">
        <x:v>Review supplier CSV exceptions</x:v>
      </x:c>
      <x:c r="C7" s="19" t="n">
        <x:v>46228</x:v>
      </x:c>
      <x:c r="D7" s="20" t="n">
        <x:v>0.75</x:v>
      </x:c>
      <x:c r="E7" s="18" t="str">
        <x:v>Not Started</x:v>
      </x:c>
      <x:c r="F7" s="21" t="n">
        <x:f>IF(C7="","",C7+IF(D7="",0,D7))</x:f>
        <x:v>46228.75</x:v>
      </x:c>
      <x:c r="G7" s="22" t="str">
        <x:v>Use the clean source export</x:v>
      </x:c>
      <x:c r="H7" s="23" t="n">
        <x:f>IF(B7="",9999999+ROW(),IF(E7="Done",999999,IF(F7&lt;NOW(),0,IF(INT(F7)=TODAY(),100,(INT(F7)-TODAY()+1)*100))+IF(A7="High",1,IF(A7="Medium",2,3))+ROW()/1000))</x:f>
        <x:v>101.007</x:v>
      </x:c>
    </x:row>
    <x:row r="8" ht="19.5" customHeight="1">
      <x:c r="A8" s="18" t="str">
        <x:v>Medium</x:v>
      </x:c>
      <x:c r="B8" s="22" t="str">
        <x:v>Prepare Monday planning notes</x:v>
      </x:c>
      <x:c r="C8" s="19" t="n">
        <x:v>46230</x:v>
      </x:c>
      <x:c r="D8" s="20" t="n">
        <x:v>0.375</x:v>
      </x:c>
      <x:c r="E8" s="18" t="str">
        <x:v>Not Started</x:v>
      </x:c>
      <x:c r="F8" s="21" t="n">
        <x:f>IF(C8="","",C8+IF(D8="",0,D8))</x:f>
        <x:v>46230.375</x:v>
      </x:c>
      <x:c r="G8" s="22" t="str">
        <x:v>Keep it to one page</x:v>
      </x:c>
      <x:c r="H8" s="23" t="n">
        <x:f>IF(B8="",9999999+ROW(),IF(E8="Done",999999,IF(F8&lt;NOW(),0,IF(INT(F8)=TODAY(),100,(INT(F8)-TODAY()+1)*100))+IF(A8="High",1,IF(A8="Medium",2,3))+ROW()/1000))</x:f>
        <x:v>302.008</x:v>
      </x:c>
    </x:row>
    <x:row r="9" ht="19.5" customHeight="1">
      <x:c r="A9" s="18" t="str">
        <x:v>Low</x:v>
      </x:c>
      <x:c r="B9" s="22" t="str">
        <x:v>Archive completed reference files</x:v>
      </x:c>
      <x:c r="C9" s="19" t="n">
        <x:v>46234</x:v>
      </x:c>
      <x:c r="D9" s="20" t="n">
        <x:v>0.7083333333</x:v>
      </x:c>
      <x:c r="E9" s="18" t="str">
        <x:v>Done</x:v>
      </x:c>
      <x:c r="F9" s="21" t="n">
        <x:f>IF(C9="","",C9+IF(D9="",0,D9))</x:f>
        <x:v>46234.7083333333</x:v>
      </x:c>
      <x:c r="G9" s="22" t="str">
        <x:v>Synthetic example</x:v>
      </x:c>
      <x:c r="H9" s="23" t="n">
        <x:f>IF(B9="",9999999+ROW(),IF(E9="Done",999999,IF(F9&lt;NOW(),0,IF(INT(F9)=TODAY(),100,(INT(F9)-TODAY()+1)*100))+IF(A9="High",1,IF(A9="Medium",2,3))+ROW()/1000))</x:f>
        <x:v>999999</x:v>
      </x:c>
    </x:row>
    <x:row r="10" ht="19.5" customHeight="1">
      <x:c r="A10" s="18"/>
      <x:c r="B10" s="22"/>
      <x:c r="C10" s="19"/>
      <x:c r="D10" s="20"/>
      <x:c r="E10" s="18"/>
      <x:c r="F10" s="21" t="str">
        <x:f>IF(C10="","",C10+IF(D10="",0,D10))</x:f>
      </x:c>
      <x:c r="G10" s="22"/>
      <x:c r="H10" s="23" t="n">
        <x:f>IF(B10="",9999999+ROW(),IF(E10="Done",999999,IF(F10&lt;NOW(),0,IF(INT(F10)=TODAY(),100,(INT(F10)-TODAY()+1)*100))+IF(A10="High",1,IF(A10="Medium",2,3))+ROW()/1000))</x:f>
        <x:v>10000009</x:v>
      </x:c>
    </x:row>
    <x:row r="11" ht="19.5" customHeight="1">
      <x:c r="A11" s="18"/>
      <x:c r="B11" s="22"/>
      <x:c r="C11" s="19"/>
      <x:c r="D11" s="20"/>
      <x:c r="E11" s="18"/>
      <x:c r="F11" s="21" t="str">
        <x:f>IF(C11="","",C11+IF(D11="",0,D11))</x:f>
      </x:c>
      <x:c r="G11" s="22"/>
      <x:c r="H11" s="23" t="n">
        <x:f>IF(B11="",9999999+ROW(),IF(E11="Done",999999,IF(F11&lt;NOW(),0,IF(INT(F11)=TODAY(),100,(INT(F11)-TODAY()+1)*100))+IF(A11="High",1,IF(A11="Medium",2,3))+ROW()/1000))</x:f>
        <x:v>10000010</x:v>
      </x:c>
    </x:row>
    <x:row r="12" ht="19.5" customHeight="1">
      <x:c r="A12" s="18"/>
      <x:c r="B12" s="22"/>
      <x:c r="C12" s="19"/>
      <x:c r="D12" s="20"/>
      <x:c r="E12" s="18"/>
      <x:c r="F12" s="21" t="str">
        <x:f>IF(C12="","",C12+IF(D12="",0,D12))</x:f>
      </x:c>
      <x:c r="G12" s="22"/>
      <x:c r="H12" s="23" t="n">
        <x:f>IF(B12="",9999999+ROW(),IF(E12="Done",999999,IF(F12&lt;NOW(),0,IF(INT(F12)=TODAY(),100,(INT(F12)-TODAY()+1)*100))+IF(A12="High",1,IF(A12="Medium",2,3))+ROW()/1000))</x:f>
        <x:v>10000011</x:v>
      </x:c>
    </x:row>
    <x:row r="13" ht="19.5" customHeight="1">
      <x:c r="A13" s="18"/>
      <x:c r="B13" s="22"/>
      <x:c r="C13" s="19"/>
      <x:c r="D13" s="20"/>
      <x:c r="E13" s="18"/>
      <x:c r="F13" s="21" t="str">
        <x:f>IF(C13="","",C13+IF(D13="",0,D13))</x:f>
      </x:c>
      <x:c r="G13" s="22"/>
      <x:c r="H13" s="23" t="n">
        <x:f>IF(B13="",9999999+ROW(),IF(E13="Done",999999,IF(F13&lt;NOW(),0,IF(INT(F13)=TODAY(),100,(INT(F13)-TODAY()+1)*100))+IF(A13="High",1,IF(A13="Medium",2,3))+ROW()/1000))</x:f>
        <x:v>10000012</x:v>
      </x:c>
    </x:row>
    <x:row r="14" ht="19.5" customHeight="1">
      <x:c r="A14" s="18"/>
      <x:c r="B14" s="22"/>
      <x:c r="C14" s="19"/>
      <x:c r="D14" s="20"/>
      <x:c r="E14" s="18"/>
      <x:c r="F14" s="21" t="str">
        <x:f>IF(C14="","",C14+IF(D14="",0,D14))</x:f>
      </x:c>
      <x:c r="G14" s="22"/>
      <x:c r="H14" s="23" t="n">
        <x:f>IF(B14="",9999999+ROW(),IF(E14="Done",999999,IF(F14&lt;NOW(),0,IF(INT(F14)=TODAY(),100,(INT(F14)-TODAY()+1)*100))+IF(A14="High",1,IF(A14="Medium",2,3))+ROW()/1000))</x:f>
        <x:v>10000013</x:v>
      </x:c>
    </x:row>
    <x:row r="15" ht="19.5" customHeight="1">
      <x:c r="A15" s="18"/>
      <x:c r="B15" s="22"/>
      <x:c r="C15" s="19"/>
      <x:c r="D15" s="20"/>
      <x:c r="E15" s="18"/>
      <x:c r="F15" s="21" t="str">
        <x:f>IF(C15="","",C15+IF(D15="",0,D15))</x:f>
      </x:c>
      <x:c r="G15" s="22"/>
      <x:c r="H15" s="23" t="n">
        <x:f>IF(B15="",9999999+ROW(),IF(E15="Done",999999,IF(F15&lt;NOW(),0,IF(INT(F15)=TODAY(),100,(INT(F15)-TODAY()+1)*100))+IF(A15="High",1,IF(A15="Medium",2,3))+ROW()/1000))</x:f>
        <x:v>10000014</x:v>
      </x:c>
    </x:row>
    <x:row r="16" ht="19.5" customHeight="1">
      <x:c r="A16" s="18"/>
      <x:c r="B16" s="22"/>
      <x:c r="C16" s="19"/>
      <x:c r="D16" s="20"/>
      <x:c r="E16" s="18"/>
      <x:c r="F16" s="21" t="str">
        <x:f>IF(C16="","",C16+IF(D16="",0,D16))</x:f>
      </x:c>
      <x:c r="G16" s="22"/>
      <x:c r="H16" s="23" t="n">
        <x:f>IF(B16="",9999999+ROW(),IF(E16="Done",999999,IF(F16&lt;NOW(),0,IF(INT(F16)=TODAY(),100,(INT(F16)-TODAY()+1)*100))+IF(A16="High",1,IF(A16="Medium",2,3))+ROW()/1000))</x:f>
        <x:v>10000015</x:v>
      </x:c>
    </x:row>
    <x:row r="17" ht="19.5" customHeight="1">
      <x:c r="A17" s="18"/>
      <x:c r="B17" s="22"/>
      <x:c r="C17" s="19"/>
      <x:c r="D17" s="20"/>
      <x:c r="E17" s="18"/>
      <x:c r="F17" s="21" t="str">
        <x:f>IF(C17="","",C17+IF(D17="",0,D17))</x:f>
      </x:c>
      <x:c r="G17" s="22"/>
      <x:c r="H17" s="23" t="n">
        <x:f>IF(B17="",9999999+ROW(),IF(E17="Done",999999,IF(F17&lt;NOW(),0,IF(INT(F17)=TODAY(),100,(INT(F17)-TODAY()+1)*100))+IF(A17="High",1,IF(A17="Medium",2,3))+ROW()/1000))</x:f>
        <x:v>10000016</x:v>
      </x:c>
    </x:row>
    <x:row r="18" ht="19.5" customHeight="1">
      <x:c r="A18" s="18"/>
      <x:c r="B18" s="22"/>
      <x:c r="C18" s="19"/>
      <x:c r="D18" s="20"/>
      <x:c r="E18" s="18"/>
      <x:c r="F18" s="21" t="str">
        <x:f>IF(C18="","",C18+IF(D18="",0,D18))</x:f>
      </x:c>
      <x:c r="G18" s="22"/>
      <x:c r="H18" s="23" t="n">
        <x:f>IF(B18="",9999999+ROW(),IF(E18="Done",999999,IF(F18&lt;NOW(),0,IF(INT(F18)=TODAY(),100,(INT(F18)-TODAY()+1)*100))+IF(A18="High",1,IF(A18="Medium",2,3))+ROW()/1000))</x:f>
        <x:v>10000017</x:v>
      </x:c>
    </x:row>
    <x:row r="19" ht="19.5" customHeight="1">
      <x:c r="A19" s="18"/>
      <x:c r="B19" s="22"/>
      <x:c r="C19" s="19"/>
      <x:c r="D19" s="20"/>
      <x:c r="E19" s="18"/>
      <x:c r="F19" s="21" t="str">
        <x:f>IF(C19="","",C19+IF(D19="",0,D19))</x:f>
      </x:c>
      <x:c r="G19" s="22"/>
      <x:c r="H19" s="23" t="n">
        <x:f>IF(B19="",9999999+ROW(),IF(E19="Done",999999,IF(F19&lt;NOW(),0,IF(INT(F19)=TODAY(),100,(INT(F19)-TODAY()+1)*100))+IF(A19="High",1,IF(A19="Medium",2,3))+ROW()/1000))</x:f>
        <x:v>10000018</x:v>
      </x:c>
    </x:row>
    <x:row r="20" ht="19.5" customHeight="1">
      <x:c r="A20" s="18"/>
      <x:c r="B20" s="22"/>
      <x:c r="C20" s="19"/>
      <x:c r="D20" s="20"/>
      <x:c r="E20" s="18"/>
      <x:c r="F20" s="21" t="str">
        <x:f>IF(C20="","",C20+IF(D20="",0,D20))</x:f>
      </x:c>
      <x:c r="G20" s="22"/>
      <x:c r="H20" s="23" t="n">
        <x:f>IF(B20="",9999999+ROW(),IF(E20="Done",999999,IF(F20&lt;NOW(),0,IF(INT(F20)=TODAY(),100,(INT(F20)-TODAY()+1)*100))+IF(A20="High",1,IF(A20="Medium",2,3))+ROW()/1000))</x:f>
        <x:v>10000019</x:v>
      </x:c>
    </x:row>
    <x:row r="21" ht="19.5" customHeight="1">
      <x:c r="A21" s="18"/>
      <x:c r="B21" s="22"/>
      <x:c r="C21" s="19"/>
      <x:c r="D21" s="20"/>
      <x:c r="E21" s="18"/>
      <x:c r="F21" s="21" t="str">
        <x:f>IF(C21="","",C21+IF(D21="",0,D21))</x:f>
      </x:c>
      <x:c r="G21" s="22"/>
      <x:c r="H21" s="23" t="n">
        <x:f>IF(B21="",9999999+ROW(),IF(E21="Done",999999,IF(F21&lt;NOW(),0,IF(INT(F21)=TODAY(),100,(INT(F21)-TODAY()+1)*100))+IF(A21="High",1,IF(A21="Medium",2,3))+ROW()/1000))</x:f>
        <x:v>10000020</x:v>
      </x:c>
    </x:row>
    <x:row r="22" ht="19.5" customHeight="1">
      <x:c r="A22" s="18"/>
      <x:c r="B22" s="22"/>
      <x:c r="C22" s="19"/>
      <x:c r="D22" s="20"/>
      <x:c r="E22" s="18"/>
      <x:c r="F22" s="21" t="str">
        <x:f>IF(C22="","",C22+IF(D22="",0,D22))</x:f>
      </x:c>
      <x:c r="G22" s="22"/>
      <x:c r="H22" s="23" t="n">
        <x:f>IF(B22="",9999999+ROW(),IF(E22="Done",999999,IF(F22&lt;NOW(),0,IF(INT(F22)=TODAY(),100,(INT(F22)-TODAY()+1)*100))+IF(A22="High",1,IF(A22="Medium",2,3))+ROW()/1000))</x:f>
        <x:v>10000021</x:v>
      </x:c>
    </x:row>
    <x:row r="23" ht="19.5" customHeight="1">
      <x:c r="A23" s="18"/>
      <x:c r="B23" s="22"/>
      <x:c r="C23" s="19"/>
      <x:c r="D23" s="20"/>
      <x:c r="E23" s="18"/>
      <x:c r="F23" s="21" t="str">
        <x:f>IF(C23="","",C23+IF(D23="",0,D23))</x:f>
      </x:c>
      <x:c r="G23" s="22"/>
      <x:c r="H23" s="23" t="n">
        <x:f>IF(B23="",9999999+ROW(),IF(E23="Done",999999,IF(F23&lt;NOW(),0,IF(INT(F23)=TODAY(),100,(INT(F23)-TODAY()+1)*100))+IF(A23="High",1,IF(A23="Medium",2,3))+ROW()/1000))</x:f>
        <x:v>10000022</x:v>
      </x:c>
    </x:row>
    <x:row r="24" ht="19.5" customHeight="1">
      <x:c r="A24" s="18"/>
      <x:c r="B24" s="22"/>
      <x:c r="C24" s="19"/>
      <x:c r="D24" s="20"/>
      <x:c r="E24" s="18"/>
      <x:c r="F24" s="21" t="str">
        <x:f>IF(C24="","",C24+IF(D24="",0,D24))</x:f>
      </x:c>
      <x:c r="G24" s="22"/>
      <x:c r="H24" s="23" t="n">
        <x:f>IF(B24="",9999999+ROW(),IF(E24="Done",999999,IF(F24&lt;NOW(),0,IF(INT(F24)=TODAY(),100,(INT(F24)-TODAY()+1)*100))+IF(A24="High",1,IF(A24="Medium",2,3))+ROW()/1000))</x:f>
        <x:v>10000023</x:v>
      </x:c>
    </x:row>
    <x:row r="25" ht="19.5" customHeight="1">
      <x:c r="A25" s="18"/>
      <x:c r="B25" s="22"/>
      <x:c r="C25" s="19"/>
      <x:c r="D25" s="20"/>
      <x:c r="E25" s="18"/>
      <x:c r="F25" s="21" t="str">
        <x:f>IF(C25="","",C25+IF(D25="",0,D25))</x:f>
      </x:c>
      <x:c r="G25" s="22"/>
      <x:c r="H25" s="23" t="n">
        <x:f>IF(B25="",9999999+ROW(),IF(E25="Done",999999,IF(F25&lt;NOW(),0,IF(INT(F25)=TODAY(),100,(INT(F25)-TODAY()+1)*100))+IF(A25="High",1,IF(A25="Medium",2,3))+ROW()/1000))</x:f>
        <x:v>10000024</x:v>
      </x:c>
    </x:row>
    <x:row r="26" ht="19.5" customHeight="1">
      <x:c r="A26" s="18"/>
      <x:c r="B26" s="22"/>
      <x:c r="C26" s="19"/>
      <x:c r="D26" s="20"/>
      <x:c r="E26" s="18"/>
      <x:c r="F26" s="21" t="str">
        <x:f>IF(C26="","",C26+IF(D26="",0,D26))</x:f>
      </x:c>
      <x:c r="G26" s="22"/>
      <x:c r="H26" s="23" t="n">
        <x:f>IF(B26="",9999999+ROW(),IF(E26="Done",999999,IF(F26&lt;NOW(),0,IF(INT(F26)=TODAY(),100,(INT(F26)-TODAY()+1)*100))+IF(A26="High",1,IF(A26="Medium",2,3))+ROW()/1000))</x:f>
        <x:v>10000025</x:v>
      </x:c>
    </x:row>
    <x:row r="27" ht="19.5" customHeight="1">
      <x:c r="A27" s="18"/>
      <x:c r="B27" s="22"/>
      <x:c r="C27" s="19"/>
      <x:c r="D27" s="20"/>
      <x:c r="E27" s="18"/>
      <x:c r="F27" s="21" t="str">
        <x:f>IF(C27="","",C27+IF(D27="",0,D27))</x:f>
      </x:c>
      <x:c r="G27" s="22"/>
      <x:c r="H27" s="23" t="n">
        <x:f>IF(B27="",9999999+ROW(),IF(E27="Done",999999,IF(F27&lt;NOW(),0,IF(INT(F27)=TODAY(),100,(INT(F27)-TODAY()+1)*100))+IF(A27="High",1,IF(A27="Medium",2,3))+ROW()/1000))</x:f>
        <x:v>10000026</x:v>
      </x:c>
    </x:row>
    <x:row r="28" ht="19.5" customHeight="1">
      <x:c r="A28" s="18"/>
      <x:c r="B28" s="22"/>
      <x:c r="C28" s="19"/>
      <x:c r="D28" s="20"/>
      <x:c r="E28" s="18"/>
      <x:c r="F28" s="21" t="str">
        <x:f>IF(C28="","",C28+IF(D28="",0,D28))</x:f>
      </x:c>
      <x:c r="G28" s="22"/>
      <x:c r="H28" s="23" t="n">
        <x:f>IF(B28="",9999999+ROW(),IF(E28="Done",999999,IF(F28&lt;NOW(),0,IF(INT(F28)=TODAY(),100,(INT(F28)-TODAY()+1)*100))+IF(A28="High",1,IF(A28="Medium",2,3))+ROW()/1000))</x:f>
        <x:v>10000027</x:v>
      </x:c>
    </x:row>
    <x:row r="29" ht="19.5" customHeight="1">
      <x:c r="A29" s="18"/>
      <x:c r="B29" s="22"/>
      <x:c r="C29" s="19"/>
      <x:c r="D29" s="20"/>
      <x:c r="E29" s="18"/>
      <x:c r="F29" s="21" t="str">
        <x:f>IF(C29="","",C29+IF(D29="",0,D29))</x:f>
      </x:c>
      <x:c r="G29" s="22"/>
      <x:c r="H29" s="23" t="n">
        <x:f>IF(B29="",9999999+ROW(),IF(E29="Done",999999,IF(F29&lt;NOW(),0,IF(INT(F29)=TODAY(),100,(INT(F29)-TODAY()+1)*100))+IF(A29="High",1,IF(A29="Medium",2,3))+ROW()/1000))</x:f>
        <x:v>10000028</x:v>
      </x:c>
    </x:row>
    <x:row r="30" ht="19.5" customHeight="1">
      <x:c r="A30" s="18"/>
      <x:c r="B30" s="22"/>
      <x:c r="C30" s="19"/>
      <x:c r="D30" s="20"/>
      <x:c r="E30" s="18"/>
      <x:c r="F30" s="21" t="str">
        <x:f>IF(C30="","",C30+IF(D30="",0,D30))</x:f>
      </x:c>
      <x:c r="G30" s="22"/>
      <x:c r="H30" s="23" t="n">
        <x:f>IF(B30="",9999999+ROW(),IF(E30="Done",999999,IF(F30&lt;NOW(),0,IF(INT(F30)=TODAY(),100,(INT(F30)-TODAY()+1)*100))+IF(A30="High",1,IF(A30="Medium",2,3))+ROW()/1000))</x:f>
        <x:v>10000029</x:v>
      </x:c>
    </x:row>
    <x:row r="31" ht="19.5" customHeight="1">
      <x:c r="A31" s="18"/>
      <x:c r="B31" s="22"/>
      <x:c r="C31" s="19"/>
      <x:c r="D31" s="20"/>
      <x:c r="E31" s="18"/>
      <x:c r="F31" s="21" t="str">
        <x:f>IF(C31="","",C31+IF(D31="",0,D31))</x:f>
      </x:c>
      <x:c r="G31" s="22"/>
      <x:c r="H31" s="23" t="n">
        <x:f>IF(B31="",9999999+ROW(),IF(E31="Done",999999,IF(F31&lt;NOW(),0,IF(INT(F31)=TODAY(),100,(INT(F31)-TODAY()+1)*100))+IF(A31="High",1,IF(A31="Medium",2,3))+ROW()/1000))</x:f>
        <x:v>10000030</x:v>
      </x:c>
    </x:row>
    <x:row r="32" ht="19.5" customHeight="1">
      <x:c r="A32" s="18"/>
      <x:c r="B32" s="22"/>
      <x:c r="C32" s="19"/>
      <x:c r="D32" s="20"/>
      <x:c r="E32" s="18"/>
      <x:c r="F32" s="21" t="str">
        <x:f>IF(C32="","",C32+IF(D32="",0,D32))</x:f>
      </x:c>
      <x:c r="G32" s="22"/>
      <x:c r="H32" s="23" t="n">
        <x:f>IF(B32="",9999999+ROW(),IF(E32="Done",999999,IF(F32&lt;NOW(),0,IF(INT(F32)=TODAY(),100,(INT(F32)-TODAY()+1)*100))+IF(A32="High",1,IF(A32="Medium",2,3))+ROW()/1000))</x:f>
        <x:v>10000031</x:v>
      </x:c>
    </x:row>
    <x:row r="33" ht="19.5" customHeight="1">
      <x:c r="A33" s="18"/>
      <x:c r="B33" s="22"/>
      <x:c r="C33" s="19"/>
      <x:c r="D33" s="20"/>
      <x:c r="E33" s="18"/>
      <x:c r="F33" s="21" t="str">
        <x:f>IF(C33="","",C33+IF(D33="",0,D33))</x:f>
      </x:c>
      <x:c r="G33" s="22"/>
      <x:c r="H33" s="23" t="n">
        <x:f>IF(B33="",9999999+ROW(),IF(E33="Done",999999,IF(F33&lt;NOW(),0,IF(INT(F33)=TODAY(),100,(INT(F33)-TODAY()+1)*100))+IF(A33="High",1,IF(A33="Medium",2,3))+ROW()/1000))</x:f>
        <x:v>10000032</x:v>
      </x:c>
    </x:row>
    <x:row r="34" ht="19.5" customHeight="1">
      <x:c r="A34" s="18"/>
      <x:c r="B34" s="22"/>
      <x:c r="C34" s="19"/>
      <x:c r="D34" s="20"/>
      <x:c r="E34" s="18"/>
      <x:c r="F34" s="21" t="str">
        <x:f>IF(C34="","",C34+IF(D34="",0,D34))</x:f>
      </x:c>
      <x:c r="G34" s="22"/>
      <x:c r="H34" s="23" t="n">
        <x:f>IF(B34="",9999999+ROW(),IF(E34="Done",999999,IF(F34&lt;NOW(),0,IF(INT(F34)=TODAY(),100,(INT(F34)-TODAY()+1)*100))+IF(A34="High",1,IF(A34="Medium",2,3))+ROW()/1000))</x:f>
        <x:v>10000033</x:v>
      </x:c>
    </x:row>
    <x:row r="35" ht="19.5" customHeight="1">
      <x:c r="A35" s="18"/>
      <x:c r="B35" s="22"/>
      <x:c r="C35" s="19"/>
      <x:c r="D35" s="20"/>
      <x:c r="E35" s="18"/>
      <x:c r="F35" s="21" t="str">
        <x:f>IF(C35="","",C35+IF(D35="",0,D35))</x:f>
      </x:c>
      <x:c r="G35" s="22"/>
      <x:c r="H35" s="23" t="n">
        <x:f>IF(B35="",9999999+ROW(),IF(E35="Done",999999,IF(F35&lt;NOW(),0,IF(INT(F35)=TODAY(),100,(INT(F35)-TODAY()+1)*100))+IF(A35="High",1,IF(A35="Medium",2,3))+ROW()/1000))</x:f>
        <x:v>10000034</x:v>
      </x:c>
    </x:row>
    <x:row r="36" ht="19.5" customHeight="1">
      <x:c r="A36" s="18"/>
      <x:c r="B36" s="22"/>
      <x:c r="C36" s="19"/>
      <x:c r="D36" s="20"/>
      <x:c r="E36" s="18"/>
      <x:c r="F36" s="21" t="str">
        <x:f>IF(C36="","",C36+IF(D36="",0,D36))</x:f>
      </x:c>
      <x:c r="G36" s="22"/>
      <x:c r="H36" s="23" t="n">
        <x:f>IF(B36="",9999999+ROW(),IF(E36="Done",999999,IF(F36&lt;NOW(),0,IF(INT(F36)=TODAY(),100,(INT(F36)-TODAY()+1)*100))+IF(A36="High",1,IF(A36="Medium",2,3))+ROW()/1000))</x:f>
        <x:v>10000035</x:v>
      </x:c>
    </x:row>
    <x:row r="37" ht="19.5" customHeight="1">
      <x:c r="A37" s="18"/>
      <x:c r="B37" s="22"/>
      <x:c r="C37" s="19"/>
      <x:c r="D37" s="20"/>
      <x:c r="E37" s="18"/>
      <x:c r="F37" s="21" t="str">
        <x:f>IF(C37="","",C37+IF(D37="",0,D37))</x:f>
      </x:c>
      <x:c r="G37" s="22"/>
      <x:c r="H37" s="23" t="n">
        <x:f>IF(B37="",9999999+ROW(),IF(E37="Done",999999,IF(F37&lt;NOW(),0,IF(INT(F37)=TODAY(),100,(INT(F37)-TODAY()+1)*100))+IF(A37="High",1,IF(A37="Medium",2,3))+ROW()/1000))</x:f>
        <x:v>10000036</x:v>
      </x:c>
    </x:row>
    <x:row r="38" ht="19.5" customHeight="1">
      <x:c r="A38" s="18"/>
      <x:c r="B38" s="22"/>
      <x:c r="C38" s="19"/>
      <x:c r="D38" s="20"/>
      <x:c r="E38" s="18"/>
      <x:c r="F38" s="21" t="str">
        <x:f>IF(C38="","",C38+IF(D38="",0,D38))</x:f>
      </x:c>
      <x:c r="G38" s="22"/>
      <x:c r="H38" s="23" t="n">
        <x:f>IF(B38="",9999999+ROW(),IF(E38="Done",999999,IF(F38&lt;NOW(),0,IF(INT(F38)=TODAY(),100,(INT(F38)-TODAY()+1)*100))+IF(A38="High",1,IF(A38="Medium",2,3))+ROW()/1000))</x:f>
        <x:v>10000037</x:v>
      </x:c>
    </x:row>
    <x:row r="39" ht="19.5" customHeight="1">
      <x:c r="A39" s="18"/>
      <x:c r="B39" s="22"/>
      <x:c r="C39" s="19"/>
      <x:c r="D39" s="20"/>
      <x:c r="E39" s="18"/>
      <x:c r="F39" s="21" t="str">
        <x:f>IF(C39="","",C39+IF(D39="",0,D39))</x:f>
      </x:c>
      <x:c r="G39" s="22"/>
      <x:c r="H39" s="23" t="n">
        <x:f>IF(B39="",9999999+ROW(),IF(E39="Done",999999,IF(F39&lt;NOW(),0,IF(INT(F39)=TODAY(),100,(INT(F39)-TODAY()+1)*100))+IF(A39="High",1,IF(A39="Medium",2,3))+ROW()/1000))</x:f>
        <x:v>10000038</x:v>
      </x:c>
    </x:row>
    <x:row r="40" ht="19.5" customHeight="1">
      <x:c r="A40" s="18"/>
      <x:c r="B40" s="22"/>
      <x:c r="C40" s="19"/>
      <x:c r="D40" s="20"/>
      <x:c r="E40" s="18"/>
      <x:c r="F40" s="21" t="str">
        <x:f>IF(C40="","",C40+IF(D40="",0,D40))</x:f>
      </x:c>
      <x:c r="G40" s="22"/>
      <x:c r="H40" s="23" t="n">
        <x:f>IF(B40="",9999999+ROW(),IF(E40="Done",999999,IF(F40&lt;NOW(),0,IF(INT(F40)=TODAY(),100,(INT(F40)-TODAY()+1)*100))+IF(A40="High",1,IF(A40="Medium",2,3))+ROW()/1000))</x:f>
        <x:v>10000039</x:v>
      </x:c>
    </x:row>
    <x:row r="41" ht="19.5" customHeight="1">
      <x:c r="A41" s="18"/>
      <x:c r="B41" s="22"/>
      <x:c r="C41" s="19"/>
      <x:c r="D41" s="20"/>
      <x:c r="E41" s="18"/>
      <x:c r="F41" s="21" t="str">
        <x:f>IF(C41="","",C41+IF(D41="",0,D41))</x:f>
      </x:c>
      <x:c r="G41" s="22"/>
      <x:c r="H41" s="23" t="n">
        <x:f>IF(B41="",9999999+ROW(),IF(E41="Done",999999,IF(F41&lt;NOW(),0,IF(INT(F41)=TODAY(),100,(INT(F41)-TODAY()+1)*100))+IF(A41="High",1,IF(A41="Medium",2,3))+ROW()/1000))</x:f>
        <x:v>10000040</x:v>
      </x:c>
    </x:row>
    <x:row r="42" ht="19.5" customHeight="1">
      <x:c r="A42" s="18"/>
      <x:c r="B42" s="22"/>
      <x:c r="C42" s="19"/>
      <x:c r="D42" s="20"/>
      <x:c r="E42" s="18"/>
      <x:c r="F42" s="21" t="str">
        <x:f>IF(C42="","",C42+IF(D42="",0,D42))</x:f>
      </x:c>
      <x:c r="G42" s="22"/>
      <x:c r="H42" s="23" t="n">
        <x:f>IF(B42="",9999999+ROW(),IF(E42="Done",999999,IF(F42&lt;NOW(),0,IF(INT(F42)=TODAY(),100,(INT(F42)-TODAY()+1)*100))+IF(A42="High",1,IF(A42="Medium",2,3))+ROW()/1000))</x:f>
        <x:v>10000041</x:v>
      </x:c>
    </x:row>
    <x:row r="43" ht="19.5" customHeight="1">
      <x:c r="A43" s="18"/>
      <x:c r="B43" s="22"/>
      <x:c r="C43" s="19"/>
      <x:c r="D43" s="20"/>
      <x:c r="E43" s="18"/>
      <x:c r="F43" s="21" t="str">
        <x:f>IF(C43="","",C43+IF(D43="",0,D43))</x:f>
      </x:c>
      <x:c r="G43" s="22"/>
      <x:c r="H43" s="23" t="n">
        <x:f>IF(B43="",9999999+ROW(),IF(E43="Done",999999,IF(F43&lt;NOW(),0,IF(INT(F43)=TODAY(),100,(INT(F43)-TODAY()+1)*100))+IF(A43="High",1,IF(A43="Medium",2,3))+ROW()/1000))</x:f>
        <x:v>10000042</x:v>
      </x:c>
    </x:row>
    <x:row r="44" ht="19.5" customHeight="1">
      <x:c r="A44" s="18"/>
      <x:c r="B44" s="22"/>
      <x:c r="C44" s="19"/>
      <x:c r="D44" s="20"/>
      <x:c r="E44" s="18"/>
      <x:c r="F44" s="21" t="str">
        <x:f>IF(C44="","",C44+IF(D44="",0,D44))</x:f>
      </x:c>
      <x:c r="G44" s="22"/>
      <x:c r="H44" s="23" t="n">
        <x:f>IF(B44="",9999999+ROW(),IF(E44="Done",999999,IF(F44&lt;NOW(),0,IF(INT(F44)=TODAY(),100,(INT(F44)-TODAY()+1)*100))+IF(A44="High",1,IF(A44="Medium",2,3))+ROW()/1000))</x:f>
        <x:v>10000043</x:v>
      </x:c>
    </x:row>
    <x:row r="45" ht="19.5" customHeight="1">
      <x:c r="A45" s="18"/>
      <x:c r="B45" s="22"/>
      <x:c r="C45" s="19"/>
      <x:c r="D45" s="20"/>
      <x:c r="E45" s="18"/>
      <x:c r="F45" s="21" t="str">
        <x:f>IF(C45="","",C45+IF(D45="",0,D45))</x:f>
      </x:c>
      <x:c r="G45" s="22"/>
      <x:c r="H45" s="23" t="n">
        <x:f>IF(B45="",9999999+ROW(),IF(E45="Done",999999,IF(F45&lt;NOW(),0,IF(INT(F45)=TODAY(),100,(INT(F45)-TODAY()+1)*100))+IF(A45="High",1,IF(A45="Medium",2,3))+ROW()/1000))</x:f>
        <x:v>10000044</x:v>
      </x:c>
    </x:row>
  </x:sheetData>
  <x:mergeCells>
    <x:mergeCell ref="A1:H1"/>
    <x:mergeCell ref="A2:H2"/>
  </x:mergeCells>
  <x:conditionalFormatting sqref="A6:G45">
    <x:cfRule type="expression" dxfId="0" priority="1">
      <x:formula>AND($B6&lt;&gt;"",$E6&lt;&gt;"Done",$F6&lt;NOW())</x:formula>
    </x:cfRule>
    <x:cfRule type="expression" dxfId="1" priority="2">
      <x:formula>AND($B6&lt;&gt;"",$E6&lt;&gt;"Done",INT($F6)=TODAY())</x:formula>
    </x:cfRule>
    <x:cfRule type="expression" dxfId="2" priority="3">
      <x:formula>$E6="Done"</x:formula>
    </x:cfRule>
  </x:conditionalFormatting>
  <x:conditionalFormatting sqref="A6:A45">
    <x:cfRule type="containsText" dxfId="3" priority="4" operator="containsText" text="High"/>
  </x:conditionalFormatting>
  <x:dataValidations count="2">
    <x:dataValidation type="list" sqref="A6:A45">
      <x:formula1>"High,Medium,Low"</x:formula1>
    </x:dataValidation>
    <x:dataValidation type="list" sqref="E6:E45">
      <x:formula1>"Not Started,In Progress,Done"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6dcb5774dd444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600004196167" hidden="0" customWidth="1"/>
    <x:col min="2" max="2" width="32.220001220703125" hidden="0" customWidth="1"/>
    <x:col min="3" max="3" width="16.670000076293945" hidden="0" customWidth="1"/>
    <x:col min="4" max="4" width="12.4399995803833" hidden="0" customWidth="1"/>
    <x:col min="5" max="5" width="26.110000610351562" hidden="0" customWidth="1"/>
  </x:cols>
  <x:sheetData>
    <x:row r="1" ht="27" customHeight="1">
      <x:c r="A1" s="3" t="str">
        <x:v>PRIORITY VIEW</x:v>
      </x:c>
      <x:c r="B1" s="3"/>
      <x:c r="C1" s="3"/>
      <x:c r="D1" s="3"/>
      <x:c r="E1" s="3"/>
    </x:row>
    <x:row r="2" ht="31.5" customHeight="1">
      <x:c r="A2" s="7" t="str">
        <x:v>This view ranks open tasks by deadline first and stated priority second. Completed tasks move to the bottom automatically.</x:v>
      </x:c>
      <x:c r="B2" s="7"/>
      <x:c r="C2" s="7"/>
      <x:c r="D2" s="7"/>
      <x:c r="E2" s="7"/>
    </x:row>
    <x:row r="4" ht="21" customHeight="1">
      <x:c r="A4" s="25" t="str">
        <x:v>Priority</x:v>
      </x:c>
      <x:c r="B4" s="26" t="str">
        <x:v>Task</x:v>
      </x:c>
      <x:c r="C4" s="26" t="str">
        <x:v>Due</x:v>
      </x:c>
      <x:c r="D4" s="26" t="str">
        <x:v>Status</x:v>
      </x:c>
      <x:c r="E4" s="27" t="str">
        <x:v>Notes</x:v>
      </x:c>
    </x:row>
    <x:row r="5" ht="21" customHeight="1">
      <x:c r="A5" s="31" t="str">
        <x:f>IFERROR(INDEX('Tasks'!$A$6:$A$45,MATCH(SMALL('Tasks'!$H$6:$H$45,1),'Tasks'!$H$6:$H$45,0)),"")</x:f>
        <x:v>High</x:v>
      </x:c>
      <x:c r="B5" s="37" t="str">
        <x:f>IFERROR(INDEX('Tasks'!$B$6:$B$45,MATCH(SMALL('Tasks'!$H$6:$H$45,1),'Tasks'!$H$6:$H$45,0)),"")</x:f>
        <x:v>Send revised client brief</x:v>
      </x:c>
      <x:c r="C5" s="34" t="n">
        <x:f>IFERROR(INDEX('Tasks'!$F$6:$F$45,MATCH(SMALL('Tasks'!$H$6:$H$45,1),'Tasks'!$H$6:$H$45,0)),"")</x:f>
        <x:v>46228.6875</x:v>
      </x:c>
      <x:c r="D5" s="31" t="str">
        <x:f>IFERROR(INDEX('Tasks'!$E$6:$E$45,MATCH(SMALL('Tasks'!$H$6:$H$45,1),'Tasks'!$H$6:$H$45,0)),"")</x:f>
        <x:v>In Progress</x:v>
      </x:c>
      <x:c r="E5" s="37" t="str">
        <x:f>IFERROR(INDEX('Tasks'!$G$6:$G$45,MATCH(SMALL('Tasks'!$H$6:$H$45,1),'Tasks'!$H$6:$H$45,0)),"")</x:f>
        <x:v>Waiting on final wording</x:v>
      </x:c>
    </x:row>
    <x:row r="6" ht="21" customHeight="1">
      <x:c r="A6" s="32" t="str">
        <x:f>IFERROR(INDEX('Tasks'!$A$6:$A$45,MATCH(SMALL('Tasks'!$H$6:$H$45,2),'Tasks'!$H$6:$H$45,0)),"")</x:f>
        <x:v>High</x:v>
      </x:c>
      <x:c r="B6" s="38" t="str">
        <x:f>IFERROR(INDEX('Tasks'!$B$6:$B$45,MATCH(SMALL('Tasks'!$H$6:$H$45,2),'Tasks'!$H$6:$H$45,0)),"")</x:f>
        <x:v>Review supplier CSV exceptions</x:v>
      </x:c>
      <x:c r="C6" s="35" t="n">
        <x:f>IFERROR(INDEX('Tasks'!$F$6:$F$45,MATCH(SMALL('Tasks'!$H$6:$H$45,2),'Tasks'!$H$6:$H$45,0)),"")</x:f>
        <x:v>46228.75</x:v>
      </x:c>
      <x:c r="D6" s="32" t="str">
        <x:f>IFERROR(INDEX('Tasks'!$E$6:$E$45,MATCH(SMALL('Tasks'!$H$6:$H$45,2),'Tasks'!$H$6:$H$45,0)),"")</x:f>
        <x:v>Not Started</x:v>
      </x:c>
      <x:c r="E6" s="38" t="str">
        <x:f>IFERROR(INDEX('Tasks'!$G$6:$G$45,MATCH(SMALL('Tasks'!$H$6:$H$45,2),'Tasks'!$H$6:$H$45,0)),"")</x:f>
        <x:v>Use the clean source export</x:v>
      </x:c>
    </x:row>
    <x:row r="7" ht="21" customHeight="1">
      <x:c r="A7" s="32" t="str">
        <x:f>IFERROR(INDEX('Tasks'!$A$6:$A$45,MATCH(SMALL('Tasks'!$H$6:$H$45,3),'Tasks'!$H$6:$H$45,0)),"")</x:f>
        <x:v>Medium</x:v>
      </x:c>
      <x:c r="B7" s="38" t="str">
        <x:f>IFERROR(INDEX('Tasks'!$B$6:$B$45,MATCH(SMALL('Tasks'!$H$6:$H$45,3),'Tasks'!$H$6:$H$45,0)),"")</x:f>
        <x:v>Prepare Monday planning notes</x:v>
      </x:c>
      <x:c r="C7" s="35" t="n">
        <x:f>IFERROR(INDEX('Tasks'!$F$6:$F$45,MATCH(SMALL('Tasks'!$H$6:$H$45,3),'Tasks'!$H$6:$H$45,0)),"")</x:f>
        <x:v>46230.375</x:v>
      </x:c>
      <x:c r="D7" s="32" t="str">
        <x:f>IFERROR(INDEX('Tasks'!$E$6:$E$45,MATCH(SMALL('Tasks'!$H$6:$H$45,3),'Tasks'!$H$6:$H$45,0)),"")</x:f>
        <x:v>Not Started</x:v>
      </x:c>
      <x:c r="E7" s="38" t="str">
        <x:f>IFERROR(INDEX('Tasks'!$G$6:$G$45,MATCH(SMALL('Tasks'!$H$6:$H$45,3),'Tasks'!$H$6:$H$45,0)),"")</x:f>
        <x:v>Keep it to one page</x:v>
      </x:c>
    </x:row>
    <x:row r="8" ht="21" customHeight="1">
      <x:c r="A8" s="32" t="str">
        <x:f>IFERROR(INDEX('Tasks'!$A$6:$A$45,MATCH(SMALL('Tasks'!$H$6:$H$45,4),'Tasks'!$H$6:$H$45,0)),"")</x:f>
        <x:v>Low</x:v>
      </x:c>
      <x:c r="B8" s="38" t="str">
        <x:f>IFERROR(INDEX('Tasks'!$B$6:$B$45,MATCH(SMALL('Tasks'!$H$6:$H$45,4),'Tasks'!$H$6:$H$45,0)),"")</x:f>
        <x:v>Archive completed reference files</x:v>
      </x:c>
      <x:c r="C8" s="35" t="n">
        <x:f>IFERROR(INDEX('Tasks'!$F$6:$F$45,MATCH(SMALL('Tasks'!$H$6:$H$45,4),'Tasks'!$H$6:$H$45,0)),"")</x:f>
        <x:v>46234.7083333333</x:v>
      </x:c>
      <x:c r="D8" s="32" t="str">
        <x:f>IFERROR(INDEX('Tasks'!$E$6:$E$45,MATCH(SMALL('Tasks'!$H$6:$H$45,4),'Tasks'!$H$6:$H$45,0)),"")</x:f>
        <x:v>Done</x:v>
      </x:c>
      <x:c r="E8" s="38" t="str">
        <x:f>IFERROR(INDEX('Tasks'!$G$6:$G$45,MATCH(SMALL('Tasks'!$H$6:$H$45,4),'Tasks'!$H$6:$H$45,0)),"")</x:f>
        <x:v>Synthetic example</x:v>
      </x:c>
    </x:row>
    <x:row r="9" ht="21" customHeight="1">
      <x:c r="A9" s="32" t="str">
        <x:f>IFERROR(INDEX('Tasks'!$A$6:$A$45,MATCH(SMALL('Tasks'!$H$6:$H$45,5),'Tasks'!$H$6:$H$45,0)),"")</x:f>
      </x:c>
      <x:c r="B9" s="38" t="str">
        <x:f>IFERROR(INDEX('Tasks'!$B$6:$B$45,MATCH(SMALL('Tasks'!$H$6:$H$45,5),'Tasks'!$H$6:$H$45,0)),"")</x:f>
      </x:c>
      <x:c r="C9" s="35" t="str">
        <x:f>IFERROR(INDEX('Tasks'!$F$6:$F$45,MATCH(SMALL('Tasks'!$H$6:$H$45,5),'Tasks'!$H$6:$H$45,0)),"")</x:f>
      </x:c>
      <x:c r="D9" s="32" t="str">
        <x:f>IFERROR(INDEX('Tasks'!$E$6:$E$45,MATCH(SMALL('Tasks'!$H$6:$H$45,5),'Tasks'!$H$6:$H$45,0)),"")</x:f>
      </x:c>
      <x:c r="E9" s="38" t="str">
        <x:f>IFERROR(INDEX('Tasks'!$G$6:$G$45,MATCH(SMALL('Tasks'!$H$6:$H$45,5),'Tasks'!$H$6:$H$45,0)),"")</x:f>
      </x:c>
    </x:row>
    <x:row r="10" ht="21" customHeight="1">
      <x:c r="A10" s="32" t="str">
        <x:f>IFERROR(INDEX('Tasks'!$A$6:$A$45,MATCH(SMALL('Tasks'!$H$6:$H$45,6),'Tasks'!$H$6:$H$45,0)),"")</x:f>
      </x:c>
      <x:c r="B10" s="38" t="str">
        <x:f>IFERROR(INDEX('Tasks'!$B$6:$B$45,MATCH(SMALL('Tasks'!$H$6:$H$45,6),'Tasks'!$H$6:$H$45,0)),"")</x:f>
      </x:c>
      <x:c r="C10" s="35" t="str">
        <x:f>IFERROR(INDEX('Tasks'!$F$6:$F$45,MATCH(SMALL('Tasks'!$H$6:$H$45,6),'Tasks'!$H$6:$H$45,0)),"")</x:f>
      </x:c>
      <x:c r="D10" s="32" t="str">
        <x:f>IFERROR(INDEX('Tasks'!$E$6:$E$45,MATCH(SMALL('Tasks'!$H$6:$H$45,6),'Tasks'!$H$6:$H$45,0)),"")</x:f>
      </x:c>
      <x:c r="E10" s="38" t="str">
        <x:f>IFERROR(INDEX('Tasks'!$G$6:$G$45,MATCH(SMALL('Tasks'!$H$6:$H$45,6),'Tasks'!$H$6:$H$45,0)),"")</x:f>
      </x:c>
    </x:row>
    <x:row r="11" ht="21" customHeight="1">
      <x:c r="A11" s="32" t="str">
        <x:f>IFERROR(INDEX('Tasks'!$A$6:$A$45,MATCH(SMALL('Tasks'!$H$6:$H$45,7),'Tasks'!$H$6:$H$45,0)),"")</x:f>
      </x:c>
      <x:c r="B11" s="38" t="str">
        <x:f>IFERROR(INDEX('Tasks'!$B$6:$B$45,MATCH(SMALL('Tasks'!$H$6:$H$45,7),'Tasks'!$H$6:$H$45,0)),"")</x:f>
      </x:c>
      <x:c r="C11" s="35" t="str">
        <x:f>IFERROR(INDEX('Tasks'!$F$6:$F$45,MATCH(SMALL('Tasks'!$H$6:$H$45,7),'Tasks'!$H$6:$H$45,0)),"")</x:f>
      </x:c>
      <x:c r="D11" s="32" t="str">
        <x:f>IFERROR(INDEX('Tasks'!$E$6:$E$45,MATCH(SMALL('Tasks'!$H$6:$H$45,7),'Tasks'!$H$6:$H$45,0)),"")</x:f>
      </x:c>
      <x:c r="E11" s="38" t="str">
        <x:f>IFERROR(INDEX('Tasks'!$G$6:$G$45,MATCH(SMALL('Tasks'!$H$6:$H$45,7),'Tasks'!$H$6:$H$45,0)),"")</x:f>
      </x:c>
    </x:row>
    <x:row r="12" ht="21" customHeight="1">
      <x:c r="A12" s="32" t="str">
        <x:f>IFERROR(INDEX('Tasks'!$A$6:$A$45,MATCH(SMALL('Tasks'!$H$6:$H$45,8),'Tasks'!$H$6:$H$45,0)),"")</x:f>
      </x:c>
      <x:c r="B12" s="38" t="str">
        <x:f>IFERROR(INDEX('Tasks'!$B$6:$B$45,MATCH(SMALL('Tasks'!$H$6:$H$45,8),'Tasks'!$H$6:$H$45,0)),"")</x:f>
      </x:c>
      <x:c r="C12" s="35" t="str">
        <x:f>IFERROR(INDEX('Tasks'!$F$6:$F$45,MATCH(SMALL('Tasks'!$H$6:$H$45,8),'Tasks'!$H$6:$H$45,0)),"")</x:f>
      </x:c>
      <x:c r="D12" s="32" t="str">
        <x:f>IFERROR(INDEX('Tasks'!$E$6:$E$45,MATCH(SMALL('Tasks'!$H$6:$H$45,8),'Tasks'!$H$6:$H$45,0)),"")</x:f>
      </x:c>
      <x:c r="E12" s="38" t="str">
        <x:f>IFERROR(INDEX('Tasks'!$G$6:$G$45,MATCH(SMALL('Tasks'!$H$6:$H$45,8),'Tasks'!$H$6:$H$45,0)),"")</x:f>
      </x:c>
    </x:row>
    <x:row r="13" ht="21" customHeight="1">
      <x:c r="A13" s="32" t="str">
        <x:f>IFERROR(INDEX('Tasks'!$A$6:$A$45,MATCH(SMALL('Tasks'!$H$6:$H$45,9),'Tasks'!$H$6:$H$45,0)),"")</x:f>
      </x:c>
      <x:c r="B13" s="38" t="str">
        <x:f>IFERROR(INDEX('Tasks'!$B$6:$B$45,MATCH(SMALL('Tasks'!$H$6:$H$45,9),'Tasks'!$H$6:$H$45,0)),"")</x:f>
      </x:c>
      <x:c r="C13" s="35" t="str">
        <x:f>IFERROR(INDEX('Tasks'!$F$6:$F$45,MATCH(SMALL('Tasks'!$H$6:$H$45,9),'Tasks'!$H$6:$H$45,0)),"")</x:f>
      </x:c>
      <x:c r="D13" s="32" t="str">
        <x:f>IFERROR(INDEX('Tasks'!$E$6:$E$45,MATCH(SMALL('Tasks'!$H$6:$H$45,9),'Tasks'!$H$6:$H$45,0)),"")</x:f>
      </x:c>
      <x:c r="E13" s="38" t="str">
        <x:f>IFERROR(INDEX('Tasks'!$G$6:$G$45,MATCH(SMALL('Tasks'!$H$6:$H$45,9),'Tasks'!$H$6:$H$45,0)),"")</x:f>
      </x:c>
    </x:row>
    <x:row r="14" ht="21" customHeight="1">
      <x:c r="A14" s="32" t="str">
        <x:f>IFERROR(INDEX('Tasks'!$A$6:$A$45,MATCH(SMALL('Tasks'!$H$6:$H$45,10),'Tasks'!$H$6:$H$45,0)),"")</x:f>
      </x:c>
      <x:c r="B14" s="38" t="str">
        <x:f>IFERROR(INDEX('Tasks'!$B$6:$B$45,MATCH(SMALL('Tasks'!$H$6:$H$45,10),'Tasks'!$H$6:$H$45,0)),"")</x:f>
      </x:c>
      <x:c r="C14" s="35" t="str">
        <x:f>IFERROR(INDEX('Tasks'!$F$6:$F$45,MATCH(SMALL('Tasks'!$H$6:$H$45,10),'Tasks'!$H$6:$H$45,0)),"")</x:f>
      </x:c>
      <x:c r="D14" s="32" t="str">
        <x:f>IFERROR(INDEX('Tasks'!$E$6:$E$45,MATCH(SMALL('Tasks'!$H$6:$H$45,10),'Tasks'!$H$6:$H$45,0)),"")</x:f>
      </x:c>
      <x:c r="E14" s="38" t="str">
        <x:f>IFERROR(INDEX('Tasks'!$G$6:$G$45,MATCH(SMALL('Tasks'!$H$6:$H$45,10),'Tasks'!$H$6:$H$45,0)),"")</x:f>
      </x:c>
    </x:row>
    <x:row r="15" ht="21" customHeight="1">
      <x:c r="A15" s="32" t="str">
        <x:f>IFERROR(INDEX('Tasks'!$A$6:$A$45,MATCH(SMALL('Tasks'!$H$6:$H$45,11),'Tasks'!$H$6:$H$45,0)),"")</x:f>
      </x:c>
      <x:c r="B15" s="38" t="str">
        <x:f>IFERROR(INDEX('Tasks'!$B$6:$B$45,MATCH(SMALL('Tasks'!$H$6:$H$45,11),'Tasks'!$H$6:$H$45,0)),"")</x:f>
      </x:c>
      <x:c r="C15" s="35" t="str">
        <x:f>IFERROR(INDEX('Tasks'!$F$6:$F$45,MATCH(SMALL('Tasks'!$H$6:$H$45,11),'Tasks'!$H$6:$H$45,0)),"")</x:f>
      </x:c>
      <x:c r="D15" s="32" t="str">
        <x:f>IFERROR(INDEX('Tasks'!$E$6:$E$45,MATCH(SMALL('Tasks'!$H$6:$H$45,11),'Tasks'!$H$6:$H$45,0)),"")</x:f>
      </x:c>
      <x:c r="E15" s="38" t="str">
        <x:f>IFERROR(INDEX('Tasks'!$G$6:$G$45,MATCH(SMALL('Tasks'!$H$6:$H$45,11),'Tasks'!$H$6:$H$45,0)),"")</x:f>
      </x:c>
    </x:row>
    <x:row r="16" ht="21" customHeight="1">
      <x:c r="A16" s="32" t="str">
        <x:f>IFERROR(INDEX('Tasks'!$A$6:$A$45,MATCH(SMALL('Tasks'!$H$6:$H$45,12),'Tasks'!$H$6:$H$45,0)),"")</x:f>
      </x:c>
      <x:c r="B16" s="38" t="str">
        <x:f>IFERROR(INDEX('Tasks'!$B$6:$B$45,MATCH(SMALL('Tasks'!$H$6:$H$45,12),'Tasks'!$H$6:$H$45,0)),"")</x:f>
      </x:c>
      <x:c r="C16" s="35" t="str">
        <x:f>IFERROR(INDEX('Tasks'!$F$6:$F$45,MATCH(SMALL('Tasks'!$H$6:$H$45,12),'Tasks'!$H$6:$H$45,0)),"")</x:f>
      </x:c>
      <x:c r="D16" s="32" t="str">
        <x:f>IFERROR(INDEX('Tasks'!$E$6:$E$45,MATCH(SMALL('Tasks'!$H$6:$H$45,12),'Tasks'!$H$6:$H$45,0)),"")</x:f>
      </x:c>
      <x:c r="E16" s="38" t="str">
        <x:f>IFERROR(INDEX('Tasks'!$G$6:$G$45,MATCH(SMALL('Tasks'!$H$6:$H$45,12),'Tasks'!$H$6:$H$45,0)),"")</x:f>
      </x:c>
    </x:row>
    <x:row r="17" ht="21" customHeight="1">
      <x:c r="A17" s="32" t="str">
        <x:f>IFERROR(INDEX('Tasks'!$A$6:$A$45,MATCH(SMALL('Tasks'!$H$6:$H$45,13),'Tasks'!$H$6:$H$45,0)),"")</x:f>
      </x:c>
      <x:c r="B17" s="38" t="str">
        <x:f>IFERROR(INDEX('Tasks'!$B$6:$B$45,MATCH(SMALL('Tasks'!$H$6:$H$45,13),'Tasks'!$H$6:$H$45,0)),"")</x:f>
      </x:c>
      <x:c r="C17" s="35" t="str">
        <x:f>IFERROR(INDEX('Tasks'!$F$6:$F$45,MATCH(SMALL('Tasks'!$H$6:$H$45,13),'Tasks'!$H$6:$H$45,0)),"")</x:f>
      </x:c>
      <x:c r="D17" s="32" t="str">
        <x:f>IFERROR(INDEX('Tasks'!$E$6:$E$45,MATCH(SMALL('Tasks'!$H$6:$H$45,13),'Tasks'!$H$6:$H$45,0)),"")</x:f>
      </x:c>
      <x:c r="E17" s="38" t="str">
        <x:f>IFERROR(INDEX('Tasks'!$G$6:$G$45,MATCH(SMALL('Tasks'!$H$6:$H$45,13),'Tasks'!$H$6:$H$45,0)),"")</x:f>
      </x:c>
    </x:row>
    <x:row r="18" ht="21" customHeight="1">
      <x:c r="A18" s="32" t="str">
        <x:f>IFERROR(INDEX('Tasks'!$A$6:$A$45,MATCH(SMALL('Tasks'!$H$6:$H$45,14),'Tasks'!$H$6:$H$45,0)),"")</x:f>
      </x:c>
      <x:c r="B18" s="38" t="str">
        <x:f>IFERROR(INDEX('Tasks'!$B$6:$B$45,MATCH(SMALL('Tasks'!$H$6:$H$45,14),'Tasks'!$H$6:$H$45,0)),"")</x:f>
      </x:c>
      <x:c r="C18" s="35" t="str">
        <x:f>IFERROR(INDEX('Tasks'!$F$6:$F$45,MATCH(SMALL('Tasks'!$H$6:$H$45,14),'Tasks'!$H$6:$H$45,0)),"")</x:f>
      </x:c>
      <x:c r="D18" s="32" t="str">
        <x:f>IFERROR(INDEX('Tasks'!$E$6:$E$45,MATCH(SMALL('Tasks'!$H$6:$H$45,14),'Tasks'!$H$6:$H$45,0)),"")</x:f>
      </x:c>
      <x:c r="E18" s="38" t="str">
        <x:f>IFERROR(INDEX('Tasks'!$G$6:$G$45,MATCH(SMALL('Tasks'!$H$6:$H$45,14),'Tasks'!$H$6:$H$45,0)),"")</x:f>
      </x:c>
    </x:row>
    <x:row r="19" ht="21" customHeight="1">
      <x:c r="A19" s="32" t="str">
        <x:f>IFERROR(INDEX('Tasks'!$A$6:$A$45,MATCH(SMALL('Tasks'!$H$6:$H$45,15),'Tasks'!$H$6:$H$45,0)),"")</x:f>
      </x:c>
      <x:c r="B19" s="38" t="str">
        <x:f>IFERROR(INDEX('Tasks'!$B$6:$B$45,MATCH(SMALL('Tasks'!$H$6:$H$45,15),'Tasks'!$H$6:$H$45,0)),"")</x:f>
      </x:c>
      <x:c r="C19" s="35" t="str">
        <x:f>IFERROR(INDEX('Tasks'!$F$6:$F$45,MATCH(SMALL('Tasks'!$H$6:$H$45,15),'Tasks'!$H$6:$H$45,0)),"")</x:f>
      </x:c>
      <x:c r="D19" s="32" t="str">
        <x:f>IFERROR(INDEX('Tasks'!$E$6:$E$45,MATCH(SMALL('Tasks'!$H$6:$H$45,15),'Tasks'!$H$6:$H$45,0)),"")</x:f>
      </x:c>
      <x:c r="E19" s="38" t="str">
        <x:f>IFERROR(INDEX('Tasks'!$G$6:$G$45,MATCH(SMALL('Tasks'!$H$6:$H$45,15),'Tasks'!$H$6:$H$45,0)),"")</x:f>
      </x:c>
    </x:row>
    <x:row r="20" ht="21" customHeight="1">
      <x:c r="A20" s="32" t="str">
        <x:f>IFERROR(INDEX('Tasks'!$A$6:$A$45,MATCH(SMALL('Tasks'!$H$6:$H$45,16),'Tasks'!$H$6:$H$45,0)),"")</x:f>
      </x:c>
      <x:c r="B20" s="38" t="str">
        <x:f>IFERROR(INDEX('Tasks'!$B$6:$B$45,MATCH(SMALL('Tasks'!$H$6:$H$45,16),'Tasks'!$H$6:$H$45,0)),"")</x:f>
      </x:c>
      <x:c r="C20" s="35" t="str">
        <x:f>IFERROR(INDEX('Tasks'!$F$6:$F$45,MATCH(SMALL('Tasks'!$H$6:$H$45,16),'Tasks'!$H$6:$H$45,0)),"")</x:f>
      </x:c>
      <x:c r="D20" s="32" t="str">
        <x:f>IFERROR(INDEX('Tasks'!$E$6:$E$45,MATCH(SMALL('Tasks'!$H$6:$H$45,16),'Tasks'!$H$6:$H$45,0)),"")</x:f>
      </x:c>
      <x:c r="E20" s="38" t="str">
        <x:f>IFERROR(INDEX('Tasks'!$G$6:$G$45,MATCH(SMALL('Tasks'!$H$6:$H$45,16),'Tasks'!$H$6:$H$45,0)),"")</x:f>
      </x:c>
    </x:row>
    <x:row r="21" ht="21" customHeight="1">
      <x:c r="A21" s="32" t="str">
        <x:f>IFERROR(INDEX('Tasks'!$A$6:$A$45,MATCH(SMALL('Tasks'!$H$6:$H$45,17),'Tasks'!$H$6:$H$45,0)),"")</x:f>
      </x:c>
      <x:c r="B21" s="38" t="str">
        <x:f>IFERROR(INDEX('Tasks'!$B$6:$B$45,MATCH(SMALL('Tasks'!$H$6:$H$45,17),'Tasks'!$H$6:$H$45,0)),"")</x:f>
      </x:c>
      <x:c r="C21" s="35" t="str">
        <x:f>IFERROR(INDEX('Tasks'!$F$6:$F$45,MATCH(SMALL('Tasks'!$H$6:$H$45,17),'Tasks'!$H$6:$H$45,0)),"")</x:f>
      </x:c>
      <x:c r="D21" s="32" t="str">
        <x:f>IFERROR(INDEX('Tasks'!$E$6:$E$45,MATCH(SMALL('Tasks'!$H$6:$H$45,17),'Tasks'!$H$6:$H$45,0)),"")</x:f>
      </x:c>
      <x:c r="E21" s="38" t="str">
        <x:f>IFERROR(INDEX('Tasks'!$G$6:$G$45,MATCH(SMALL('Tasks'!$H$6:$H$45,17),'Tasks'!$H$6:$H$45,0)),"")</x:f>
      </x:c>
    </x:row>
    <x:row r="22" ht="21" customHeight="1">
      <x:c r="A22" s="32" t="str">
        <x:f>IFERROR(INDEX('Tasks'!$A$6:$A$45,MATCH(SMALL('Tasks'!$H$6:$H$45,18),'Tasks'!$H$6:$H$45,0)),"")</x:f>
      </x:c>
      <x:c r="B22" s="38" t="str">
        <x:f>IFERROR(INDEX('Tasks'!$B$6:$B$45,MATCH(SMALL('Tasks'!$H$6:$H$45,18),'Tasks'!$H$6:$H$45,0)),"")</x:f>
      </x:c>
      <x:c r="C22" s="35" t="str">
        <x:f>IFERROR(INDEX('Tasks'!$F$6:$F$45,MATCH(SMALL('Tasks'!$H$6:$H$45,18),'Tasks'!$H$6:$H$45,0)),"")</x:f>
      </x:c>
      <x:c r="D22" s="32" t="str">
        <x:f>IFERROR(INDEX('Tasks'!$E$6:$E$45,MATCH(SMALL('Tasks'!$H$6:$H$45,18),'Tasks'!$H$6:$H$45,0)),"")</x:f>
      </x:c>
      <x:c r="E22" s="38" t="str">
        <x:f>IFERROR(INDEX('Tasks'!$G$6:$G$45,MATCH(SMALL('Tasks'!$H$6:$H$45,18),'Tasks'!$H$6:$H$45,0)),"")</x:f>
      </x:c>
    </x:row>
    <x:row r="23" ht="21" customHeight="1">
      <x:c r="A23" s="32" t="str">
        <x:f>IFERROR(INDEX('Tasks'!$A$6:$A$45,MATCH(SMALL('Tasks'!$H$6:$H$45,19),'Tasks'!$H$6:$H$45,0)),"")</x:f>
      </x:c>
      <x:c r="B23" s="38" t="str">
        <x:f>IFERROR(INDEX('Tasks'!$B$6:$B$45,MATCH(SMALL('Tasks'!$H$6:$H$45,19),'Tasks'!$H$6:$H$45,0)),"")</x:f>
      </x:c>
      <x:c r="C23" s="35" t="str">
        <x:f>IFERROR(INDEX('Tasks'!$F$6:$F$45,MATCH(SMALL('Tasks'!$H$6:$H$45,19),'Tasks'!$H$6:$H$45,0)),"")</x:f>
      </x:c>
      <x:c r="D23" s="32" t="str">
        <x:f>IFERROR(INDEX('Tasks'!$E$6:$E$45,MATCH(SMALL('Tasks'!$H$6:$H$45,19),'Tasks'!$H$6:$H$45,0)),"")</x:f>
      </x:c>
      <x:c r="E23" s="38" t="str">
        <x:f>IFERROR(INDEX('Tasks'!$G$6:$G$45,MATCH(SMALL('Tasks'!$H$6:$H$45,19),'Tasks'!$H$6:$H$45,0)),"")</x:f>
      </x:c>
    </x:row>
    <x:row r="24" ht="21" customHeight="1">
      <x:c r="A24" s="33" t="str">
        <x:f>IFERROR(INDEX('Tasks'!$A$6:$A$45,MATCH(SMALL('Tasks'!$H$6:$H$45,20),'Tasks'!$H$6:$H$45,0)),"")</x:f>
      </x:c>
      <x:c r="B24" s="39" t="str">
        <x:f>IFERROR(INDEX('Tasks'!$B$6:$B$45,MATCH(SMALL('Tasks'!$H$6:$H$45,20),'Tasks'!$H$6:$H$45,0)),"")</x:f>
      </x:c>
      <x:c r="C24" s="36" t="str">
        <x:f>IFERROR(INDEX('Tasks'!$F$6:$F$45,MATCH(SMALL('Tasks'!$H$6:$H$45,20),'Tasks'!$H$6:$H$45,0)),"")</x:f>
      </x:c>
      <x:c r="D24" s="33" t="str">
        <x:f>IFERROR(INDEX('Tasks'!$E$6:$E$45,MATCH(SMALL('Tasks'!$H$6:$H$45,20),'Tasks'!$H$6:$H$45,0)),"")</x:f>
      </x:c>
      <x:c r="E24" s="39" t="str">
        <x:f>IFERROR(INDEX('Tasks'!$G$6:$G$45,MATCH(SMALL('Tasks'!$H$6:$H$45,20),'Tasks'!$H$6:$H$45,0)),"")</x:f>
      </x:c>
    </x:row>
  </x:sheetData>
  <x:mergeCells>
    <x:mergeCell ref="A1:E1"/>
    <x:mergeCell ref="A2:E2"/>
  </x:mergeCells>
  <x:conditionalFormatting sqref="A5:E24">
    <x:cfRule type="expression" dxfId="4" priority="1">
      <x:formula>AND($B5&lt;&gt;"",$D5&lt;&gt;"Done",$C5&lt;NOW())</x:formula>
    </x:cfRule>
    <x:cfRule type="expression" dxfId="5" priority="2">
      <x:formula>AND($B5&lt;&gt;"",$D5&lt;&gt;"Done",INT($C5)=TODAY())</x:formula>
    </x:cfRule>
    <x:cfRule type="expression" dxfId="6" priority="3">
      <x:formula>$D5="Done"</x:formula>
    </x:cfRule>
  </x:conditionalFormatting>
  <x:pageMargins left="0.7" right="0.7" top="0.75" bottom="0.75" header="0.3" footer="0.3"/>
</x:worksheet>
</file>