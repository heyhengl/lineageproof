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cd20d0401f841a1" /></Relationships>
</file>

<file path=xl/workbook.xml><?xml version="1.0" encoding="utf-8"?>
<x:workbook xmlns:x="http://schemas.openxmlformats.org/spreadsheetml/2006/main">
  <x:sheets>
    <x:sheet xmlns:r="http://schemas.openxmlformats.org/officeDocument/2006/relationships" name="Overview" sheetId="1" r:id="Rad04f87879534267"/>
    <x:sheet xmlns:r="http://schemas.openxmlformats.org/officeDocument/2006/relationships" name="Items" sheetId="2" r:id="R1ed66bc63db94404"/>
    <x:sheet xmlns:r="http://schemas.openxmlformats.org/officeDocument/2006/relationships" name="Batch Ledger" sheetId="3" r:id="R2bc4c57fde284e99"/>
    <x:sheet xmlns:r="http://schemas.openxmlformats.org/officeDocument/2006/relationships" name="Guide" sheetId="4" r:id="R5b06c04578aa4eb5"/>
  </x:sheets>
</x:workbook>
</file>

<file path=xl/comments1.xml><?xml version="1.0" encoding="utf-8"?>
<x:comments xmlns:x="http://schemas.openxmlformats.org/spreadsheetml/2006/main">
  <x:authors>
    <x:author>tc={855EC97E-B01B-2C8B-A838-5AA34D9D9297}</x:author>
  </x:authors>
  <x:commentList>
    <x:comment ref="H6" authorId="0">
      <x:text>
        <x:r>
          <x:t>[Threaded comment]
Your version of Excel allows you to read this threaded comment; however, any edits to it will get removed if the file is opened in a newer version of Excel. Learn more: https://go.microsoft.com/fwlink/?linkid=870924
Comment:
    Formula output: sums active on-hand quantities from the Batch Ledger by SKU.</x:t>
        </x:r>
      </x:text>
    </x:comment>
  </x:commentList>
</x:comments>
</file>

<file path=xl/comments2.xml><?xml version="1.0" encoding="utf-8"?>
<x:comments xmlns:x="http://schemas.openxmlformats.org/spreadsheetml/2006/main">
  <x:authors>
    <x:author>tc={F196E3FB-B212-44FF-8260-6F189F1D60C4}</x:author>
  </x:authors>
  <x:commentList>
    <x:comment ref="K6" authorId="0">
      <x:text>
        <x:r>
          <x:t>[Threaded comment]
Your version of Excel allows you to read this threaded comment; however, any edits to it will get removed if the file is opened in a newer version of Excel. Learn more: https://go.microsoft.com/fwlink/?linkid=870924
Comment:
    Formula output: classifies each non-empty row against the controlled as-of date on Guide.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yyyy-mm-dd"/>
    <x:numFmt numFmtId="202" formatCode="#,##0"/>
  </x:numFmts>
  <x:fonts count="9">
    <x:font>
      <x:sz val="11"/>
      <x:name val="Carlito"/>
    </x:font>
    <x:font>
      <x:b/>
      <x:sz val="20"/>
      <x:color rgb="FFFFFFFF"/>
      <x:name val="Aptos Display"/>
    </x:font>
    <x:font>
      <x:sz val="10"/>
      <x:color rgb="FF17324D"/>
      <x:name val="Aptos"/>
    </x:font>
    <x:font>
      <x:b/>
      <x:sz val="10"/>
      <x:color rgb="FFFFFFFF"/>
      <x:name val="Aptos"/>
    </x:font>
    <x:font>
      <x:b/>
      <x:sz val="22"/>
      <x:color rgb="FF17324D"/>
      <x:name val="Aptos Display"/>
    </x:font>
    <x:font>
      <x:b/>
      <x:sz val="12"/>
      <x:color rgb="FFFFFFFF"/>
      <x:name val="Aptos Display"/>
    </x:font>
    <x:font>
      <x:i/>
      <x:sz val="9"/>
      <x:color rgb="FF617384"/>
      <x:name val="Aptos"/>
    </x:font>
    <x:font>
      <x:b/>
      <x:sz val="10"/>
      <x:color rgb="FF17324D"/>
      <x:name val="Aptos"/>
    </x:font>
    <x:font>
      <x:sz val="10"/>
      <x:color rgb="FF805B00"/>
      <x:name val="Aptos"/>
    </x:font>
  </x:fonts>
  <x:fills count="8">
    <x:fill>
      <x:patternFill patternType="none"/>
    </x:fill>
    <x:fill>
      <x:patternFill patternType="gray125"/>
    </x:fill>
    <x:fill>
      <x:patternFill patternType="solid">
        <x:fgColor rgb="FF1D3557"/>
      </x:patternFill>
    </x:fill>
    <x:fill>
      <x:patternFill patternType="solid">
        <x:fgColor rgb="FFEAF2F8"/>
      </x:patternFill>
    </x:fill>
    <x:fill>
      <x:patternFill patternType="solid">
        <x:fgColor rgb="FF2A6F6B"/>
      </x:patternFill>
    </x:fill>
    <x:fill>
      <x:patternFill patternType="solid">
        <x:fgColor rgb="FFF3F5F7"/>
      </x:patternFill>
    </x:fill>
    <x:fill>
      <x:patternFill patternType="solid">
        <x:fgColor rgb="FFE7F2F1"/>
      </x:patternFill>
    </x:fill>
    <x:fill>
      <x:patternFill patternType="solid">
        <x:fgColor rgb="FFFFF1CC"/>
      </x:patternFill>
    </x:fill>
  </x:fills>
  <x:borders count="19">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bottom style="medium">
        <x:color rgb="FF1D3557"/>
      </x:bottom>
    </x:border>
    <x:border>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
      <x:left style="thin">
        <x:color rgb="FFE4C15D"/>
      </x:left>
      <x:top style="thin">
        <x:color rgb="FFE4C15D"/>
      </x:top>
    </x:border>
    <x:border>
      <x:top style="thin">
        <x:color rgb="FFE4C15D"/>
      </x:top>
    </x:border>
    <x:border>
      <x:right style="thin">
        <x:color rgb="FFE4C15D"/>
      </x:right>
      <x:top style="thin">
        <x:color rgb="FFE4C15D"/>
      </x:top>
    </x:border>
    <x:border>
      <x:left style="thin">
        <x:color rgb="FFE4C15D"/>
      </x:left>
    </x:border>
    <x:border>
      <x:right style="thin">
        <x:color rgb="FFE4C15D"/>
      </x:right>
    </x:border>
    <x:border>
      <x:left style="thin">
        <x:color rgb="FFE4C15D"/>
      </x:left>
      <x:bottom style="thin">
        <x:color rgb="FFE4C15D"/>
      </x:bottom>
    </x:border>
    <x:border>
      <x:bottom style="thin">
        <x:color rgb="FFE4C15D"/>
      </x:bottom>
    </x:border>
    <x:border>
      <x:right style="thin">
        <x:color rgb="FFE4C15D"/>
      </x:right>
      <x:bottom style="thin">
        <x:color rgb="FFE4C15D"/>
      </x:bottom>
    </x:border>
  </x:borders>
  <x:cellStyleXfs count="1">
    <x:xf numFmtId="0" fontId="0" fillId="0" borderId="0"/>
  </x:cellStyleXfs>
  <x:cellXfs count="15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5" xfId="0" applyNumberFormat="1" applyFont="1" applyFill="1" applyBorder="1" applyAlignment="1">
      <x:alignment horizontal="center"/>
    </x:xf>
    <x:xf numFmtId="0" fontId="4" fillId="5" borderId="6"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4" fillId="5" borderId="5" xfId="0" applyNumberFormat="1" applyFont="1" applyFill="1" applyBorder="1" applyAlignment="1">
      <x:alignment horizontal="center" vertical="center"/>
    </x:xf>
    <x:xf numFmtId="0" fontId="4" fillId="5" borderId="6" xfId="0" applyNumberFormat="1" applyFont="1" applyFill="1" applyBorder="1" applyAlignment="1">
      <x:alignment horizontal="center" vertical="center"/>
    </x:xf>
    <x:xf numFmtId="0" fontId="5" fillId="2" borderId="0" xfId="0" applyNumberFormat="1" applyFont="1" applyFill="1" applyBorder="1"/>
    <x:xf numFmtId="0" fontId="5" fillId="2" borderId="0" xfId="0" applyNumberFormat="1" applyFont="1" applyFill="1" applyBorder="1" applyAlignment="1">
      <x:alignment vertical="center"/>
    </x:xf>
    <x:xf numFmtId="0" fontId="3" fillId="4" borderId="7" xfId="0" applyNumberFormat="1" applyFont="1" applyFill="1" applyBorder="1"/>
    <x:xf numFmtId="0" fontId="3" fillId="4" borderId="7" xfId="0" applyNumberFormat="1" applyFont="1" applyFill="1" applyBorder="1" applyAlignment="1">
      <x:alignment wrapText="1"/>
    </x:xf>
    <x:xf numFmtId="0" fontId="3" fillId="4" borderId="7" xfId="0" applyNumberFormat="1" applyFont="1" applyFill="1" applyBorder="1" applyAlignment="1">
      <x:alignment horizontal="center" wrapText="1"/>
    </x:xf>
    <x:xf numFmtId="0" fontId="3" fillId="4" borderId="7" xfId="0" applyNumberFormat="1" applyFont="1" applyFill="1" applyBorder="1" applyAlignment="1">
      <x:alignment horizontal="center" vertical="center" wrapText="1"/>
    </x:xf>
    <x:xf numFmtId="0" fontId="2" fillId="0" borderId="0" xfId="0" applyNumberFormat="1" applyFont="1" applyFill="1" applyBorder="1"/>
    <x:xf numFmtId="0" fontId="2" fillId="0" borderId="5" xfId="0" applyNumberFormat="1" applyFont="1" applyFill="1" applyBorder="1"/>
    <x:xf numFmtId="0" fontId="2" fillId="0" borderId="8" xfId="0" applyNumberFormat="1" applyFont="1" applyFill="1" applyBorder="1"/>
    <x:xf numFmtId="0" fontId="2" fillId="0" borderId="2" xfId="0" applyNumberFormat="1" applyFont="1" applyFill="1" applyBorder="1"/>
    <x:xf numFmtId="0" fontId="2" fillId="0" borderId="5" xfId="0" applyNumberFormat="1" applyFont="1" applyFill="1" applyBorder="1" applyAlignment="1">
      <x:alignment vertical="center"/>
    </x:xf>
    <x:xf numFmtId="0" fontId="2" fillId="0" borderId="8" xfId="0" applyNumberFormat="1" applyFont="1" applyFill="1" applyBorder="1" applyAlignment="1">
      <x:alignment vertical="center"/>
    </x:xf>
    <x:xf numFmtId="0" fontId="2" fillId="0" borderId="2" xfId="0" applyNumberFormat="1" applyFont="1" applyFill="1" applyBorder="1" applyAlignment="1">
      <x:alignment vertical="center"/>
    </x:xf>
    <x:xf numFmtId="200" fontId="2" fillId="0" borderId="5" xfId="0" applyNumberFormat="1" applyFont="1" applyFill="1" applyBorder="1" applyAlignment="1">
      <x:alignment vertical="center"/>
    </x:xf>
    <x:xf numFmtId="200" fontId="2" fillId="0" borderId="8" xfId="0" applyNumberFormat="1" applyFont="1" applyFill="1" applyBorder="1" applyAlignment="1">
      <x:alignment vertical="center"/>
    </x:xf>
    <x:xf numFmtId="200" fontId="2" fillId="0" borderId="2" xfId="0" applyNumberFormat="1" applyFont="1" applyFill="1" applyBorder="1" applyAlignment="1">
      <x:alignment vertical="center"/>
    </x:xf>
    <x:xf numFmtId="201" fontId="2" fillId="0" borderId="5" xfId="0" applyNumberFormat="1" applyFont="1" applyFill="1" applyBorder="1" applyAlignment="1">
      <x:alignment vertical="center"/>
    </x:xf>
    <x:xf numFmtId="201" fontId="2" fillId="0" borderId="8" xfId="0" applyNumberFormat="1" applyFont="1" applyFill="1" applyBorder="1" applyAlignment="1">
      <x:alignment vertical="center"/>
    </x:xf>
    <x:xf numFmtId="201" fontId="2" fillId="0" borderId="2"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6" fillId="6" borderId="0" xfId="0" applyNumberFormat="1" applyFont="1" applyFill="1" applyBorder="1" applyAlignment="1">
      <x:alignment vertical="center"/>
    </x:xf>
    <x:xf numFmtId="0" fontId="2" fillId="3" borderId="5" xfId="0" applyNumberFormat="1" applyFont="1" applyFill="1" applyBorder="1"/>
    <x:xf numFmtId="0" fontId="2" fillId="3" borderId="8" xfId="0" applyNumberFormat="1" applyFont="1" applyFill="1" applyBorder="1"/>
    <x:xf numFmtId="0" fontId="2" fillId="3" borderId="2" xfId="0" applyNumberFormat="1" applyFont="1" applyFill="1" applyBorder="1"/>
    <x:xf numFmtId="0" fontId="2" fillId="3" borderId="5" xfId="0" applyNumberFormat="1" applyFont="1" applyFill="1" applyBorder="1" applyAlignment="1">
      <x:alignment vertical="center"/>
    </x:xf>
    <x:xf numFmtId="0" fontId="2" fillId="3" borderId="8" xfId="0" applyNumberFormat="1" applyFont="1" applyFill="1" applyBorder="1" applyAlignment="1">
      <x:alignment vertical="center"/>
    </x:xf>
    <x:xf numFmtId="0" fontId="2" fillId="3" borderId="2" xfId="0" applyNumberFormat="1" applyFont="1" applyFill="1" applyBorder="1" applyAlignment="1">
      <x:alignment vertical="center"/>
    </x:xf>
    <x:xf numFmtId="0" fontId="2" fillId="5" borderId="0" xfId="0" applyNumberFormat="1" applyFont="1" applyFill="1" applyBorder="1"/>
    <x:xf numFmtId="0" fontId="2" fillId="5" borderId="5" xfId="0" applyNumberFormat="1" applyFont="1" applyFill="1" applyBorder="1"/>
    <x:xf numFmtId="0" fontId="2" fillId="5" borderId="8" xfId="0" applyNumberFormat="1" applyFont="1" applyFill="1" applyBorder="1"/>
    <x:xf numFmtId="0" fontId="2" fillId="5" borderId="2" xfId="0" applyNumberFormat="1" applyFont="1" applyFill="1" applyBorder="1"/>
    <x:xf numFmtId="0" fontId="2" fillId="5" borderId="5" xfId="0" applyNumberFormat="1" applyFont="1" applyFill="1" applyBorder="1" applyAlignment="1">
      <x:alignment vertical="center"/>
    </x:xf>
    <x:xf numFmtId="0" fontId="2" fillId="5" borderId="8" xfId="0" applyNumberFormat="1" applyFont="1" applyFill="1" applyBorder="1" applyAlignment="1">
      <x:alignment vertical="center"/>
    </x:xf>
    <x:xf numFmtId="0" fontId="2" fillId="5" borderId="2" xfId="0" applyNumberFormat="1" applyFont="1" applyFill="1" applyBorder="1" applyAlignment="1">
      <x:alignment vertical="center"/>
    </x:xf>
    <x:xf numFmtId="0" fontId="2" fillId="3" borderId="5" xfId="0" applyNumberFormat="1" applyFont="1" applyFill="1" applyBorder="1" applyAlignment="1">
      <x:alignment horizontal="right" vertical="center"/>
    </x:xf>
    <x:xf numFmtId="0" fontId="2" fillId="5" borderId="5" xfId="0" applyNumberFormat="1" applyFont="1" applyFill="1" applyBorder="1" applyAlignment="1">
      <x:alignment horizontal="right" vertical="center"/>
    </x:xf>
    <x:xf numFmtId="0" fontId="2" fillId="3" borderId="8" xfId="0" applyNumberFormat="1" applyFont="1" applyFill="1" applyBorder="1" applyAlignment="1">
      <x:alignment horizontal="right" vertical="center"/>
    </x:xf>
    <x:xf numFmtId="0" fontId="2" fillId="5" borderId="8" xfId="0" applyNumberFormat="1" applyFont="1" applyFill="1" applyBorder="1" applyAlignment="1">
      <x:alignment horizontal="right" vertical="center"/>
    </x:xf>
    <x:xf numFmtId="0" fontId="2" fillId="3" borderId="2" xfId="0" applyNumberFormat="1" applyFont="1" applyFill="1" applyBorder="1" applyAlignment="1">
      <x:alignment horizontal="right" vertical="center"/>
    </x:xf>
    <x:xf numFmtId="0" fontId="2" fillId="5" borderId="2" xfId="0" applyNumberFormat="1" applyFont="1" applyFill="1" applyBorder="1" applyAlignment="1">
      <x:alignment horizontal="right" vertical="center"/>
    </x:xf>
    <x:xf numFmtId="202" fontId="2" fillId="3" borderId="5" xfId="0" applyNumberFormat="1" applyFont="1" applyFill="1" applyBorder="1" applyAlignment="1">
      <x:alignment horizontal="right" vertical="center"/>
    </x:xf>
    <x:xf numFmtId="202" fontId="2" fillId="3" borderId="8" xfId="0" applyNumberFormat="1" applyFont="1" applyFill="1" applyBorder="1" applyAlignment="1">
      <x:alignment horizontal="right" vertical="center"/>
    </x:xf>
    <x:xf numFmtId="202" fontId="2" fillId="3" borderId="2" xfId="0" applyNumberFormat="1" applyFont="1" applyFill="1" applyBorder="1" applyAlignment="1">
      <x:alignment horizontal="right" vertical="center"/>
    </x:xf>
    <x:xf numFmtId="200" fontId="2" fillId="5" borderId="5" xfId="0" applyNumberFormat="1" applyFont="1" applyFill="1" applyBorder="1" applyAlignment="1">
      <x:alignment horizontal="right" vertical="center"/>
    </x:xf>
    <x:xf numFmtId="200" fontId="2" fillId="5" borderId="8" xfId="0" applyNumberFormat="1" applyFont="1" applyFill="1" applyBorder="1" applyAlignment="1">
      <x:alignment horizontal="right" vertical="center"/>
    </x:xf>
    <x:xf numFmtId="200" fontId="2" fillId="5" borderId="2" xfId="0" applyNumberFormat="1" applyFont="1" applyFill="1" applyBorder="1" applyAlignment="1">
      <x:alignment horizontal="right" vertical="center"/>
    </x:xf>
    <x:xf numFmtId="201" fontId="2" fillId="5" borderId="5" xfId="0" applyNumberFormat="1" applyFont="1" applyFill="1" applyBorder="1" applyAlignment="1">
      <x:alignment horizontal="right" vertical="center"/>
    </x:xf>
    <x:xf numFmtId="201" fontId="2" fillId="5" borderId="8" xfId="0" applyNumberFormat="1" applyFont="1" applyFill="1" applyBorder="1" applyAlignment="1">
      <x:alignment horizontal="right" vertical="center"/>
    </x:xf>
    <x:xf numFmtId="201" fontId="2" fillId="5" borderId="2" xfId="0" applyNumberFormat="1" applyFont="1" applyFill="1" applyBorder="1" applyAlignment="1">
      <x:alignment horizontal="right" vertical="center"/>
    </x:xf>
    <x:xf numFmtId="201" fontId="2" fillId="3" borderId="5" xfId="0" applyNumberFormat="1" applyFont="1" applyFill="1" applyBorder="1" applyAlignment="1">
      <x:alignment vertical="center"/>
    </x:xf>
    <x:xf numFmtId="201" fontId="2" fillId="3" borderId="8" xfId="0" applyNumberFormat="1" applyFont="1" applyFill="1" applyBorder="1" applyAlignment="1">
      <x:alignment vertical="center"/>
    </x:xf>
    <x:xf numFmtId="201" fontId="2" fillId="3" borderId="2" xfId="0" applyNumberFormat="1" applyFont="1" applyFill="1" applyBorder="1" applyAlignment="1">
      <x:alignment vertical="center"/>
    </x:xf>
    <x:xf numFmtId="200" fontId="2" fillId="3" borderId="5" xfId="0" applyNumberFormat="1" applyFont="1" applyFill="1" applyBorder="1" applyAlignment="1">
      <x:alignment vertical="center"/>
    </x:xf>
    <x:xf numFmtId="200" fontId="2" fillId="5" borderId="5" xfId="0" applyNumberFormat="1" applyFont="1" applyFill="1" applyBorder="1" applyAlignment="1">
      <x:alignment vertical="center"/>
    </x:xf>
    <x:xf numFmtId="200" fontId="2" fillId="3" borderId="8" xfId="0" applyNumberFormat="1" applyFont="1" applyFill="1" applyBorder="1" applyAlignment="1">
      <x:alignment vertical="center"/>
    </x:xf>
    <x:xf numFmtId="200" fontId="2" fillId="5" borderId="8" xfId="0" applyNumberFormat="1" applyFont="1" applyFill="1" applyBorder="1" applyAlignment="1">
      <x:alignment vertical="center"/>
    </x:xf>
    <x:xf numFmtId="200" fontId="2" fillId="3" borderId="2" xfId="0" applyNumberFormat="1" applyFont="1" applyFill="1" applyBorder="1" applyAlignment="1">
      <x:alignment vertical="center"/>
    </x:xf>
    <x:xf numFmtId="200" fontId="2" fillId="5" borderId="2" xfId="0" applyNumberFormat="1" applyFont="1" applyFill="1" applyBorder="1" applyAlignment="1">
      <x:alignment vertical="center"/>
    </x:xf>
    <x:xf numFmtId="202" fontId="2" fillId="5" borderId="5" xfId="0" applyNumberFormat="1" applyFont="1" applyFill="1" applyBorder="1" applyAlignment="1">
      <x:alignment vertical="center"/>
    </x:xf>
    <x:xf numFmtId="202" fontId="2" fillId="5" borderId="8" xfId="0" applyNumberFormat="1" applyFont="1" applyFill="1" applyBorder="1" applyAlignment="1">
      <x:alignment vertical="center"/>
    </x:xf>
    <x:xf numFmtId="202" fontId="2" fillId="5" borderId="2" xfId="0" applyNumberFormat="1" applyFont="1" applyFill="1" applyBorder="1" applyAlignment="1">
      <x:alignment vertical="center"/>
    </x:xf>
    <x:xf numFmtId="201" fontId="0" fillId="0" borderId="0" xfId="0" applyNumberFormat="1" applyFont="1" applyFill="1" applyBorder="1"/>
    <x:xf numFmtId="201" fontId="0" fillId="3" borderId="0" xfId="0" applyNumberFormat="1" applyFont="1" applyFill="1" applyBorder="1"/>
    <x:xf numFmtId="0" fontId="7" fillId="3" borderId="0" xfId="0" applyNumberFormat="1" applyFont="1" applyFill="1" applyBorder="1"/>
    <x:xf numFmtId="201" fontId="7" fillId="3" borderId="0" xfId="0" applyNumberFormat="1" applyFont="1" applyFill="1" applyBorder="1"/>
    <x:xf numFmtId="0" fontId="7" fillId="3" borderId="9" xfId="0" applyNumberFormat="1" applyFont="1" applyFill="1" applyBorder="1"/>
    <x:xf numFmtId="201" fontId="7" fillId="3" borderId="10" xfId="0" applyNumberFormat="1" applyFont="1" applyFill="1" applyBorder="1"/>
    <x:xf numFmtId="0" fontId="7" fillId="3" borderId="9" xfId="0" applyNumberFormat="1" applyFont="1" applyFill="1" applyBorder="1" applyAlignment="1">
      <x:alignment vertical="center"/>
    </x:xf>
    <x:xf numFmtId="201" fontId="7" fillId="3" borderId="10" xfId="0" applyNumberFormat="1" applyFont="1" applyFill="1" applyBorder="1" applyAlignment="1">
      <x:alignment vertical="center"/>
    </x:xf>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5" xfId="0" applyNumberFormat="1" applyFont="1" applyFill="1" applyBorder="1" applyAlignment="1">
      <x:alignment wrapText="1"/>
    </x:xf>
    <x:xf numFmtId="0" fontId="2" fillId="0" borderId="8" xfId="0" applyNumberFormat="1" applyFont="1" applyFill="1" applyBorder="1" applyAlignment="1">
      <x:alignment wrapText="1"/>
    </x:xf>
    <x:xf numFmtId="0" fontId="2" fillId="0" borderId="2" xfId="0" applyNumberFormat="1" applyFont="1" applyFill="1" applyBorder="1" applyAlignment="1">
      <x:alignment wrapText="1"/>
    </x:xf>
    <x:xf numFmtId="0" fontId="2" fillId="0" borderId="5" xfId="0" applyNumberFormat="1" applyFont="1" applyFill="1" applyBorder="1" applyAlignment="1">
      <x:alignment vertical="center" wrapText="1"/>
    </x:xf>
    <x:xf numFmtId="0" fontId="2" fillId="0" borderId="8" xfId="0" applyNumberFormat="1" applyFont="1" applyFill="1" applyBorder="1" applyAlignment="1">
      <x:alignment vertical="center" wrapText="1"/>
    </x:xf>
    <x:xf numFmtId="0" fontId="2" fillId="0" borderId="2" xfId="0" applyNumberFormat="1" applyFont="1" applyFill="1" applyBorder="1" applyAlignment="1">
      <x:alignment vertical="center" wrapText="1"/>
    </x:xf>
    <x:xf numFmtId="0" fontId="2" fillId="4" borderId="5" xfId="0" applyNumberFormat="1" applyFont="1" applyFill="1" applyBorder="1" applyAlignment="1">
      <x:alignment vertical="center" wrapText="1"/>
    </x:xf>
    <x:xf numFmtId="0" fontId="2" fillId="4" borderId="8" xfId="0" applyNumberFormat="1" applyFont="1" applyFill="1" applyBorder="1" applyAlignment="1">
      <x:alignment vertical="center" wrapText="1"/>
    </x:xf>
    <x:xf numFmtId="0" fontId="2" fillId="4" borderId="2"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3" fillId="4" borderId="8"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5" xfId="0" applyNumberFormat="1" applyFont="1" applyFill="1" applyBorder="1" applyAlignment="1">
      <x:alignment horizontal="center" vertical="center" wrapText="1"/>
    </x:xf>
    <x:xf numFmtId="0" fontId="3" fillId="4" borderId="8"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2" fillId="6" borderId="5" xfId="0" applyNumberFormat="1" applyFont="1" applyFill="1" applyBorder="1" applyAlignment="1">
      <x:alignment vertical="center" wrapText="1"/>
    </x:xf>
    <x:xf numFmtId="0" fontId="2" fillId="6" borderId="8" xfId="0" applyNumberFormat="1" applyFont="1" applyFill="1" applyBorder="1" applyAlignment="1">
      <x:alignment vertical="center" wrapText="1"/>
    </x:xf>
    <x:xf numFmtId="0" fontId="2" fillId="6" borderId="2" xfId="0" applyNumberFormat="1" applyFont="1" applyFill="1" applyBorder="1" applyAlignment="1">
      <x:alignment vertical="center" wrapText="1"/>
    </x:xf>
    <x:xf numFmtId="0" fontId="7" fillId="6" borderId="5" xfId="0" applyNumberFormat="1" applyFont="1" applyFill="1" applyBorder="1" applyAlignment="1">
      <x:alignment vertical="center" wrapText="1"/>
    </x:xf>
    <x:xf numFmtId="0" fontId="7" fillId="6" borderId="8" xfId="0" applyNumberFormat="1" applyFont="1" applyFill="1" applyBorder="1" applyAlignment="1">
      <x:alignment vertical="center" wrapText="1"/>
    </x:xf>
    <x:xf numFmtId="0" fontId="7" fillId="6" borderId="2"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8" fillId="7" borderId="11" xfId="0" applyNumberFormat="1" applyFont="1" applyFill="1" applyBorder="1"/>
    <x:xf numFmtId="0" fontId="8" fillId="7" borderId="12" xfId="0" applyNumberFormat="1" applyFont="1" applyFill="1" applyBorder="1"/>
    <x:xf numFmtId="0" fontId="8" fillId="7" borderId="13" xfId="0" applyNumberFormat="1" applyFont="1" applyFill="1" applyBorder="1"/>
    <x:xf numFmtId="0" fontId="8" fillId="7" borderId="14" xfId="0" applyNumberFormat="1" applyFont="1" applyFill="1" applyBorder="1"/>
    <x:xf numFmtId="0" fontId="8" fillId="7" borderId="15" xfId="0" applyNumberFormat="1" applyFont="1" applyFill="1" applyBorder="1"/>
    <x:xf numFmtId="0" fontId="8" fillId="7" borderId="16" xfId="0" applyNumberFormat="1" applyFont="1" applyFill="1" applyBorder="1"/>
    <x:xf numFmtId="0" fontId="8" fillId="7" borderId="17" xfId="0" applyNumberFormat="1" applyFont="1" applyFill="1" applyBorder="1"/>
    <x:xf numFmtId="0" fontId="8" fillId="7" borderId="18" xfId="0" applyNumberFormat="1" applyFont="1" applyFill="1" applyBorder="1"/>
    <x:xf numFmtId="0" fontId="8" fillId="7" borderId="11" xfId="0" applyNumberFormat="1" applyFont="1" applyFill="1" applyBorder="1" applyAlignment="1">
      <x:alignment wrapText="1"/>
    </x:xf>
    <x:xf numFmtId="0" fontId="8" fillId="7" borderId="12" xfId="0" applyNumberFormat="1" applyFont="1" applyFill="1" applyBorder="1" applyAlignment="1">
      <x:alignment wrapText="1"/>
    </x:xf>
    <x:xf numFmtId="0" fontId="8" fillId="7" borderId="13" xfId="0" applyNumberFormat="1" applyFont="1" applyFill="1" applyBorder="1" applyAlignment="1">
      <x:alignment wrapText="1"/>
    </x:xf>
    <x:xf numFmtId="0" fontId="8" fillId="7" borderId="14" xfId="0" applyNumberFormat="1" applyFont="1" applyFill="1" applyBorder="1" applyAlignment="1">
      <x:alignment wrapText="1"/>
    </x:xf>
    <x:xf numFmtId="0" fontId="8" fillId="7" borderId="0" xfId="0" applyNumberFormat="1" applyFont="1" applyFill="1" applyBorder="1" applyAlignment="1">
      <x:alignment wrapText="1"/>
    </x:xf>
    <x:xf numFmtId="0" fontId="8" fillId="7" borderId="15" xfId="0" applyNumberFormat="1" applyFont="1" applyFill="1" applyBorder="1" applyAlignment="1">
      <x:alignment wrapText="1"/>
    </x:xf>
    <x:xf numFmtId="0" fontId="8" fillId="7" borderId="16" xfId="0" applyNumberFormat="1" applyFont="1" applyFill="1" applyBorder="1" applyAlignment="1">
      <x:alignment wrapText="1"/>
    </x:xf>
    <x:xf numFmtId="0" fontId="8" fillId="7" borderId="17" xfId="0" applyNumberFormat="1" applyFont="1" applyFill="1" applyBorder="1" applyAlignment="1">
      <x:alignment wrapText="1"/>
    </x:xf>
    <x:xf numFmtId="0" fontId="8" fillId="7" borderId="18" xfId="0" applyNumberFormat="1" applyFont="1" applyFill="1" applyBorder="1" applyAlignment="1">
      <x:alignment wrapText="1"/>
    </x:xf>
    <x:xf numFmtId="0" fontId="8" fillId="7" borderId="11" xfId="0" applyNumberFormat="1" applyFont="1" applyFill="1" applyBorder="1" applyAlignment="1">
      <x:alignment vertical="top" wrapText="1"/>
    </x:xf>
    <x:xf numFmtId="0" fontId="8" fillId="7" borderId="12" xfId="0" applyNumberFormat="1" applyFont="1" applyFill="1" applyBorder="1" applyAlignment="1">
      <x:alignment vertical="top" wrapText="1"/>
    </x:xf>
    <x:xf numFmtId="0" fontId="8" fillId="7" borderId="13" xfId="0" applyNumberFormat="1" applyFont="1" applyFill="1" applyBorder="1" applyAlignment="1">
      <x:alignment vertical="top" wrapText="1"/>
    </x:xf>
    <x:xf numFmtId="0" fontId="8" fillId="7" borderId="14"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5" xfId="0" applyNumberFormat="1" applyFont="1" applyFill="1" applyBorder="1" applyAlignment="1">
      <x:alignment vertical="top" wrapText="1"/>
    </x:xf>
    <x:xf numFmtId="0" fontId="8" fillId="7" borderId="16" xfId="0" applyNumberFormat="1" applyFont="1" applyFill="1" applyBorder="1" applyAlignment="1">
      <x:alignment vertical="top" wrapText="1"/>
    </x:xf>
    <x:xf numFmtId="0" fontId="8" fillId="7" borderId="17" xfId="0" applyNumberFormat="1" applyFont="1" applyFill="1" applyBorder="1" applyAlignment="1">
      <x:alignment vertical="top" wrapText="1"/>
    </x:xf>
    <x:xf numFmtId="0" fontId="8" fillId="7" borderId="18" xfId="0" applyNumberFormat="1" applyFont="1" applyFill="1" applyBorder="1" applyAlignment="1">
      <x:alignment vertical="top" wrapText="1"/>
    </x:xf>
  </x:cellXfs>
  <x:cellStyles count="1">
    <x:cellStyle name="Normal" xfId="0"/>
  </x:cellStyles>
  <x:dxfs count="10">
    <x:dxf>
      <x:font>
        <x:b/>
        <x:color rgb="FF8C2F39"/>
      </x:font>
      <x:fill>
        <x:patternFill patternType="solid">
          <x:bgColor rgb="FFFDE1E1"/>
        </x:patternFill>
      </x:fill>
    </x:dxf>
    <x:dxf>
      <x:font>
        <x:b/>
        <x:color rgb="FF805B00"/>
      </x:font>
      <x:fill>
        <x:patternFill patternType="solid">
          <x:bgColor rgb="FFFFF1CC"/>
        </x:patternFill>
      </x:fill>
    </x:dxf>
    <x:dxf>
      <x:font>
        <x:b/>
        <x:color rgb="FF27643B"/>
      </x:font>
      <x:fill>
        <x:patternFill patternType="solid">
          <x:bgColor rgb="FFDFF2E1"/>
        </x:patternFill>
      </x:fill>
    </x:dxf>
    <x:dxf>
      <x:font>
        <x:b/>
        <x:color rgb="FF8C2F39"/>
      </x:font>
      <x:fill>
        <x:patternFill patternType="solid">
          <x:bgColor rgb="FFFDE1E1"/>
        </x:patternFill>
      </x:fill>
    </x:dxf>
    <x:dxf>
      <x:font>
        <x:b/>
        <x:color rgb="FF805B00"/>
      </x:font>
      <x:fill>
        <x:patternFill patternType="solid">
          <x:bgColor rgb="FFFFF1CC"/>
        </x:patternFill>
      </x:fill>
    </x:dxf>
    <x:dxf>
      <x:font>
        <x:b/>
        <x:color rgb="FF27643B"/>
      </x:font>
      <x:fill>
        <x:patternFill patternType="solid">
          <x:bgColor rgb="FFDFF2E1"/>
        </x:patternFill>
      </x:fill>
    </x:dxf>
    <x:dxf>
      <x:font>
        <x:b/>
        <x:color rgb="FF805B00"/>
      </x:font>
      <x:fill>
        <x:patternFill patternType="solid">
          <x:bgColor rgb="FFFFF1CC"/>
        </x:patternFill>
      </x:fill>
    </x:dxf>
    <x:dxf>
      <x:font>
        <x:b/>
        <x:color rgb="FF8C2F39"/>
      </x:font>
      <x:fill>
        <x:patternFill patternType="solid">
          <x:bgColor rgb="FFFDE1E1"/>
        </x:patternFill>
      </x:fill>
    </x:dxf>
    <x:dxf>
      <x:font>
        <x:b/>
        <x:color rgb="FF805B00"/>
      </x:font>
      <x:fill>
        <x:patternFill patternType="solid">
          <x:bgColor rgb="FFFFF1CC"/>
        </x:patternFill>
      </x:fill>
    </x:dxf>
    <x:dxf>
      <x:font>
        <x:b/>
        <x:color rgb="FF27643B"/>
      </x:font>
      <x:fill>
        <x:patternFill patternType="solid">
          <x:bgColor rgb="FFDFF2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00198b3b1b46c2" /><Relationship Type="http://schemas.openxmlformats.org/officeDocument/2006/relationships/theme" Target="/xl/theme/theme1.xml" Id="Re16119d9788c42b6" /><Relationship Type="http://schemas.openxmlformats.org/officeDocument/2006/relationships/sharedStrings" Target="/xl/sharedStrings.xml" Id="Rb5bf5a00eb364958" /><Relationship Type="http://schemas.openxmlformats.org/officeDocument/2006/relationships/worksheet" Target="/xl/worksheets/sheet1.xml" Id="Rad04f87879534267" /><Relationship Type="http://schemas.openxmlformats.org/officeDocument/2006/relationships/worksheet" Target="/xl/worksheets/sheet2.xml" Id="R1ed66bc63db94404" /><Relationship Type="http://schemas.openxmlformats.org/officeDocument/2006/relationships/worksheet" Target="/xl/worksheets/sheet3.xml" Id="R2bc4c57fde284e99" /><Relationship Type="http://schemas.openxmlformats.org/officeDocument/2006/relationships/worksheet" Target="/xl/worksheets/sheet4.xml" Id="R5b06c04578aa4eb5" /><Relationship Type="http://schemas.microsoft.com/office/2017/10/relationships/person" Target="/xl/persons/person.xml" Id="R176a7ee3b9334e2e" /></Relationships>
</file>

<file path=xl/persons/person.xml><?xml version="1.0" encoding="utf-8"?>
<xltc:personList xmlns:xltc="http://schemas.microsoft.com/office/spreadsheetml/2018/threadedcomments">
  <xltc:person displayName="User" id="{D469E2E9-7EF2-494E-AAE0-D1B415C4CB91}"/>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H6" dT="2026-07-25T13:01:17.791" personId="{D469E2E9-7EF2-494E-AAE0-D1B415C4CB91}" id="{855EC97E-B01B-2C8B-A838-5AA34D9D9297}">
    <xltc:text>Formula output: sums active on-hand quantities from the Batch Ledger by SKU.</xltc:text>
  </xltc:threadedComment>
</xltc:ThreadedComments>
</file>

<file path=xl/threadedcomments/threadedcomment2.xml><?xml version="1.0" encoding="utf-8"?>
<xltc:ThreadedComments xmlns:xltc="http://schemas.microsoft.com/office/spreadsheetml/2018/threadedcomments">
  <xltc:threadedComment ref="K6" dT="2026-07-25T13:01:17.793" personId="{D469E2E9-7EF2-494E-AAE0-D1B415C4CB91}" id="{F196E3FB-B212-44FF-8260-6F189F1D60C4}">
    <xltc:text>Formula output: classifies each non-empty row against the controlled as-of date on Guide.</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8a4b672620b94155" /><Relationship Type="http://schemas.openxmlformats.org/officeDocument/2006/relationships/vmlDrawing" Target="/xl/drawings/vmldrawing.vml" Id="R3366b3931d0f42e2" /><Relationship Type="http://schemas.microsoft.com/office/2017/10/relationships/threadedComment" Target="/xl/threadedcomments/threadedcomment.xml" Id="R7736f1589dfd419a" /></Relationships>
</file>

<file path=xl/worksheets/_rels/sheet3.xml.rels>&#65279;<?xml version="1.0" encoding="utf-8"?><Relationships xmlns="http://schemas.openxmlformats.org/package/2006/relationships"><Relationship Type="http://schemas.openxmlformats.org/officeDocument/2006/relationships/comments" Target="/xl/comments2.xml" Id="Re404fd2be2c54d4c" /><Relationship Type="http://schemas.openxmlformats.org/officeDocument/2006/relationships/vmlDrawing" Target="/xl/drawings/vmldrawing2.vml" Id="Rd22d8af9a9134f89" /><Relationship Type="http://schemas.microsoft.com/office/2017/10/relationships/threadedComment" Target="/xl/threadedcomments/threadedcomment2.xml" Id="R16cbed8ed3064c19"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18" hidden="0" customWidth="1"/>
    <x:col min="4" max="4" width="15" hidden="0" customWidth="1"/>
    <x:col min="5" max="5" width="15" hidden="0" customWidth="1"/>
    <x:col min="6" max="6" width="15" hidden="0" customWidth="1"/>
    <x:col min="7" max="7" width="15" hidden="0" customWidth="1"/>
    <x:col min="8" max="8" width="16" hidden="0" customWidth="1"/>
  </x:cols>
  <x:sheetData>
    <x:row r="1" ht="34" customHeight="1">
      <x:c r="A1" s="4" t="str">
        <x:v>Inventory &amp; Batch Control — Synthetic Proof</x:v>
      </x:c>
      <x:c r="B1" s="4" t="str">
        <x:v>Inventory &amp; Batch Control — Synthetic Proof</x:v>
      </x:c>
      <x:c r="C1" s="4" t="str">
        <x:v>Inventory &amp; Batch Control — Synthetic Proof</x:v>
      </x:c>
      <x:c r="D1" s="4" t="str">
        <x:v>Inventory &amp; Batch Control — Synthetic Proof</x:v>
      </x:c>
      <x:c r="E1" s="4" t="str">
        <x:v>Inventory &amp; Batch Control — Synthetic Proof</x:v>
      </x:c>
      <x:c r="F1" s="4" t="str">
        <x:v>Inventory &amp; Batch Control — Synthetic Proof</x:v>
      </x:c>
      <x:c r="G1" s="4" t="str">
        <x:v>Inventory &amp; Batch Control — Synthetic Proof</x:v>
      </x:c>
      <x:c r="H1" s="4" t="str">
        <x:v>Inventory &amp; Batch Control — Synthetic Proof</x:v>
      </x:c>
    </x:row>
    <x:row r="2" ht="34" customHeight="1">
      <x:c r="A2" s="4" t="str">
        <x:v>Inventory &amp; Batch Control — Synthetic Proof</x:v>
      </x:c>
      <x:c r="B2" s="4" t="str">
        <x:v>Inventory &amp; Batch Control — Synthetic Proof</x:v>
      </x:c>
      <x:c r="C2" s="4" t="str">
        <x:v>Inventory &amp; Batch Control — Synthetic Proof</x:v>
      </x:c>
      <x:c r="D2" s="4" t="str">
        <x:v>Inventory &amp; Batch Control — Synthetic Proof</x:v>
      </x:c>
      <x:c r="E2" s="4" t="str">
        <x:v>Inventory &amp; Batch Control — Synthetic Proof</x:v>
      </x:c>
      <x:c r="F2" s="4" t="str">
        <x:v>Inventory &amp; Batch Control — Synthetic Proof</x:v>
      </x:c>
      <x:c r="G2" s="4" t="str">
        <x:v>Inventory &amp; Batch Control — Synthetic Proof</x:v>
      </x:c>
      <x:c r="H2" s="4" t="str">
        <x:v>Inventory &amp; Batch Control — Synthetic Proof</x:v>
      </x:c>
    </x:row>
    <x:row r="3" ht="32" customHeight="1">
      <x:c r="A3" s="8" t="str">
        <x:v>Formula-driven workbook using fictional tea-company data. It demonstrates capability only and is not a customer case.</x:v>
      </x:c>
      <x:c r="B3" s="8" t="str">
        <x:v>Formula-driven workbook using fictional tea-company data. It demonstrates capability only and is not a customer case.</x:v>
      </x:c>
      <x:c r="C3" s="8" t="str">
        <x:v>Formula-driven workbook using fictional tea-company data. It demonstrates capability only and is not a customer case.</x:v>
      </x:c>
      <x:c r="D3" s="8" t="str">
        <x:v>Formula-driven workbook using fictional tea-company data. It demonstrates capability only and is not a customer case.</x:v>
      </x:c>
      <x:c r="E3" s="8" t="str">
        <x:v>Formula-driven workbook using fictional tea-company data. It demonstrates capability only and is not a customer case.</x:v>
      </x:c>
      <x:c r="F3" s="8" t="str">
        <x:v>Formula-driven workbook using fictional tea-company data. It demonstrates capability only and is not a customer case.</x:v>
      </x:c>
      <x:c r="G3" s="8" t="str">
        <x:v>Formula-driven workbook using fictional tea-company data. It demonstrates capability only and is not a customer case.</x:v>
      </x:c>
      <x:c r="H3" s="8" t="str">
        <x:v>Formula-driven workbook using fictional tea-company data. It demonstrates capability only and is not a customer case.</x:v>
      </x:c>
    </x:row>
    <x:row r="5">
      <x:c r="A5" s="12" t="str">
        <x:v>Active SKUs</x:v>
      </x:c>
      <x:c r="B5" s="12" t="str"/>
      <x:c r="C5" s="12" t="str">
        <x:v>Reorder flags</x:v>
      </x:c>
      <x:c r="D5" s="12" t="str"/>
      <x:c r="E5" s="12" t="str">
        <x:v>Qty expiring ≤30d</x:v>
      </x:c>
      <x:c r="F5" s="12" t="str"/>
      <x:c r="G5" s="12" t="str">
        <x:v>Expired qty</x:v>
      </x:c>
      <x:c r="H5" s="12" t="str"/>
    </x:row>
    <x:row r="6">
      <x:c r="A6" s="27" t="n">
        <x:f>COUNTIF('Items'!$H$7:$H$12,"&gt;0")</x:f>
        <x:v>6</x:v>
      </x:c>
      <x:c r="B6" s="28"/>
      <x:c r="C6" s="28" t="n">
        <x:f>COUNTIF('Items'!$I$7:$I$12,"REORDER")</x:f>
        <x:v>4</x:v>
      </x:c>
      <x:c r="D6" s="28"/>
      <x:c r="E6" s="28" t="n">
        <x:f>SUM('Items'!$K$7:$K$12)</x:f>
        <x:v>825</x:v>
      </x:c>
      <x:c r="F6" s="28"/>
      <x:c r="G6" s="28" t="n">
        <x:f>SUMIF('Batch Ledger'!$K$7:$K$24,"EXPIRED",'Batch Ledger'!$H$7:$H$24)</x:f>
        <x:v>4</x:v>
      </x:c>
      <x:c r="H6" s="29"/>
    </x:row>
    <x:row r="7">
      <x:c r="A7" s="30"/>
      <x:c r="B7" s="31"/>
      <x:c r="C7" s="31"/>
      <x:c r="D7" s="31"/>
      <x:c r="E7" s="31"/>
      <x:c r="F7" s="31"/>
      <x:c r="G7" s="31"/>
      <x:c r="H7" s="32"/>
    </x:row>
    <x:row r="9">
      <x:c r="A9" s="34" t="str">
        <x:v>Stock watchlist</x:v>
      </x:c>
      <x:c r="B9" s="34"/>
      <x:c r="C9" s="34"/>
      <x:c r="D9" s="34"/>
      <x:c r="E9" s="34"/>
      <x:c r="F9" s="34"/>
      <x:c r="G9" s="34"/>
      <x:c r="H9" s="34"/>
    </x:row>
    <x:row r="10" ht="32" customHeight="1">
      <x:c r="A10" s="38" t="str">
        <x:v>SKU</x:v>
      </x:c>
      <x:c r="B10" s="38" t="str">
        <x:v>Item</x:v>
      </x:c>
      <x:c r="C10" s="38" t="str">
        <x:v>Category</x:v>
      </x:c>
      <x:c r="D10" s="38" t="str">
        <x:v>On Hand</x:v>
      </x:c>
      <x:c r="E10" s="38" t="str">
        <x:v>Reorder Point</x:v>
      </x:c>
      <x:c r="F10" s="38" t="str">
        <x:v>Target Stock</x:v>
      </x:c>
      <x:c r="G10" s="38" t="str">
        <x:v>Status</x:v>
      </x:c>
      <x:c r="H10" s="38" t="str">
        <x:v>Next Expiry</x:v>
      </x:c>
    </x:row>
    <x:row r="11">
      <x:c r="A11" s="43" t="str">
        <x:f>'Items'!A7</x:f>
        <x:v>RM-TEA-ASSAM</x:v>
      </x:c>
      <x:c r="B11" s="43" t="str">
        <x:f>'Items'!B7</x:f>
        <x:v>Assam black tea</x:v>
      </x:c>
      <x:c r="C11" s="43" t="str">
        <x:f>'Items'!C7</x:f>
        <x:v>Raw material</x:v>
      </x:c>
      <x:c r="D11" s="46" t="n">
        <x:f>'Items'!H7</x:f>
        <x:v>37</x:v>
      </x:c>
      <x:c r="E11" s="46" t="n">
        <x:f>'Items'!F7</x:f>
        <x:v>20</x:v>
      </x:c>
      <x:c r="F11" s="46" t="n">
        <x:f>'Items'!G7</x:f>
        <x:v>60</x:v>
      </x:c>
      <x:c r="G11" s="43" t="str">
        <x:f>'Items'!I7</x:f>
        <x:v>LOW</x:v>
      </x:c>
      <x:c r="H11" s="49" t="n">
        <x:f>'Items'!J7</x:f>
        <x:v>46553</x:v>
      </x:c>
    </x:row>
    <x:row r="12">
      <x:c r="A12" s="44" t="str">
        <x:f>'Items'!A8</x:f>
        <x:v>RM-TEA-SENCHA</x:v>
      </x:c>
      <x:c r="B12" s="44" t="str">
        <x:f>'Items'!B8</x:f>
        <x:v>Sencha green tea</x:v>
      </x:c>
      <x:c r="C12" s="44" t="str">
        <x:f>'Items'!C8</x:f>
        <x:v>Raw material</x:v>
      </x:c>
      <x:c r="D12" s="47" t="n">
        <x:f>'Items'!H8</x:f>
        <x:v>14</x:v>
      </x:c>
      <x:c r="E12" s="47" t="n">
        <x:f>'Items'!F8</x:f>
        <x:v>15</x:v>
      </x:c>
      <x:c r="F12" s="47" t="n">
        <x:f>'Items'!G8</x:f>
        <x:v>40</x:v>
      </x:c>
      <x:c r="G12" s="44" t="str">
        <x:f>'Items'!I8</x:f>
        <x:v>REORDER</x:v>
      </x:c>
      <x:c r="H12" s="50" t="n">
        <x:f>'Items'!J8</x:f>
        <x:v>46204</x:v>
      </x:c>
    </x:row>
    <x:row r="13">
      <x:c r="A13" s="44" t="str">
        <x:f>'Items'!A9</x:f>
        <x:v>RM-BOT-BERGAMOT</x:v>
      </x:c>
      <x:c r="B13" s="44" t="str">
        <x:f>'Items'!B9</x:f>
        <x:v>Bergamot extract</x:v>
      </x:c>
      <x:c r="C13" s="44" t="str">
        <x:f>'Items'!C9</x:f>
        <x:v>Raw material</x:v>
      </x:c>
      <x:c r="D13" s="47" t="n">
        <x:f>'Items'!H9</x:f>
        <x:v>800</x:v>
      </x:c>
      <x:c r="E13" s="47" t="n">
        <x:f>'Items'!F9</x:f>
        <x:v>1000</x:v>
      </x:c>
      <x:c r="F13" s="47" t="n">
        <x:f>'Items'!G9</x:f>
        <x:v>3000</x:v>
      </x:c>
      <x:c r="G13" s="44" t="str">
        <x:f>'Items'!I9</x:f>
        <x:v>REORDER</x:v>
      </x:c>
      <x:c r="H13" s="50" t="n">
        <x:f>'Items'!J9</x:f>
        <x:v>46235</x:v>
      </x:c>
    </x:row>
    <x:row r="14">
      <x:c r="A14" s="44" t="str">
        <x:f>'Items'!A10</x:f>
        <x:v>PKG-POUCH-100</x:v>
      </x:c>
      <x:c r="B14" s="44" t="str">
        <x:f>'Items'!B10</x:f>
        <x:v>100 g kraft pouch</x:v>
      </x:c>
      <x:c r="C14" s="44" t="str">
        <x:f>'Items'!C10</x:f>
        <x:v>Packaging</x:v>
      </x:c>
      <x:c r="D14" s="47" t="n">
        <x:f>'Items'!H10</x:f>
        <x:v>50</x:v>
      </x:c>
      <x:c r="E14" s="47" t="n">
        <x:f>'Items'!F10</x:f>
        <x:v>100</x:v>
      </x:c>
      <x:c r="F14" s="47" t="n">
        <x:f>'Items'!G10</x:f>
        <x:v>500</x:v>
      </x:c>
      <x:c r="G14" s="44" t="str">
        <x:f>'Items'!I10</x:f>
        <x:v>REORDER</x:v>
      </x:c>
      <x:c r="H14" s="50" t="n">
        <x:f>'Items'!J10</x:f>
        <x:v>47848</x:v>
      </x:c>
    </x:row>
    <x:row r="15">
      <x:c r="A15" s="44" t="str">
        <x:f>'Items'!A11</x:f>
        <x:v>BLD-EARL-001</x:v>
      </x:c>
      <x:c r="B15" s="44" t="str">
        <x:f>'Items'!B11</x:f>
        <x:v>Earl Grey blend</x:v>
      </x:c>
      <x:c r="C15" s="44" t="str">
        <x:f>'Items'!C11</x:f>
        <x:v>Finished blend</x:v>
      </x:c>
      <x:c r="D15" s="47" t="n">
        <x:f>'Items'!H11</x:f>
        <x:v>15</x:v>
      </x:c>
      <x:c r="E15" s="47" t="n">
        <x:f>'Items'!F11</x:f>
        <x:v>10</x:v>
      </x:c>
      <x:c r="F15" s="47" t="n">
        <x:f>'Items'!G11</x:f>
        <x:v>35</x:v>
      </x:c>
      <x:c r="G15" s="44" t="str">
        <x:f>'Items'!I11</x:f>
        <x:v>LOW</x:v>
      </x:c>
      <x:c r="H15" s="50" t="n">
        <x:f>'Items'!J11</x:f>
        <x:v>46254</x:v>
      </x:c>
    </x:row>
    <x:row r="16">
      <x:c r="A16" s="45" t="str">
        <x:f>'Items'!A12</x:f>
        <x:v>BLD-GREEN-001</x:v>
      </x:c>
      <x:c r="B16" s="45" t="str">
        <x:f>'Items'!B12</x:f>
        <x:v>Jasmine green blend</x:v>
      </x:c>
      <x:c r="C16" s="45" t="str">
        <x:f>'Items'!C12</x:f>
        <x:v>Finished blend</x:v>
      </x:c>
      <x:c r="D16" s="48" t="n">
        <x:f>'Items'!H12</x:f>
        <x:v>8</x:v>
      </x:c>
      <x:c r="E16" s="48" t="n">
        <x:f>'Items'!F12</x:f>
        <x:v>8</x:v>
      </x:c>
      <x:c r="F16" s="48" t="n">
        <x:f>'Items'!G12</x:f>
        <x:v>25</x:v>
      </x:c>
      <x:c r="G16" s="45" t="str">
        <x:f>'Items'!I12</x:f>
        <x:v>REORDER</x:v>
      </x:c>
      <x:c r="H16" s="51" t="n">
        <x:f>'Items'!J12</x:f>
        <x:v>46280</x:v>
      </x:c>
    </x:row>
    <x:row r="18" ht="28" customHeight="1">
      <x:c r="A18" s="55" t="str">
        <x:v>As-of date is controlled on Guide!B5. Update blue input cells only; grey cells contain formulas.</x:v>
      </x:c>
      <x:c r="B18" s="55"/>
      <x:c r="C18" s="55"/>
      <x:c r="D18" s="55"/>
      <x:c r="E18" s="55"/>
      <x:c r="F18" s="55"/>
      <x:c r="G18" s="55"/>
      <x:c r="H18" s="55"/>
    </x:row>
  </x:sheetData>
  <x:mergeCells>
    <x:mergeCell ref="A1:H2"/>
    <x:mergeCell ref="A3:H3"/>
    <x:mergeCell ref="A5:B5"/>
    <x:mergeCell ref="C5:D5"/>
    <x:mergeCell ref="E5:F5"/>
    <x:mergeCell ref="G5:H5"/>
    <x:mergeCell ref="A6:B7"/>
    <x:mergeCell ref="C6:D7"/>
    <x:mergeCell ref="E6:F7"/>
    <x:mergeCell ref="G6:H7"/>
    <x:mergeCell ref="A9:H9"/>
    <x:mergeCell ref="A18:H18"/>
  </x:mergeCells>
  <x:conditionalFormatting sqref="G11:G16">
    <x:cfRule type="containsText" dxfId="0" priority="1" operator="containsText" text="REORDER"/>
    <x:cfRule type="containsText" dxfId="1" priority="2" operator="containsText" text="LOW"/>
    <x:cfRule type="containsText" dxfId="2" priority="3" operator="containsText" text="OK"/>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24" hidden="0" customWidth="1"/>
    <x:col min="3" max="3" width="18" hidden="0" customWidth="1"/>
    <x:col min="4" max="4" width="10" hidden="0" customWidth="1"/>
    <x:col min="5" max="5" width="14" hidden="0" customWidth="1"/>
    <x:col min="6" max="6" width="14" hidden="0" customWidth="1"/>
    <x:col min="7" max="7" width="14" hidden="0" customWidth="1"/>
    <x:col min="8" max="8" width="15" hidden="0" customWidth="1"/>
    <x:col min="9" max="9" width="15" hidden="0" customWidth="1"/>
    <x:col min="10" max="10" width="16" hidden="0" customWidth="1"/>
    <x:col min="11" max="11" width="18" hidden="0" customWidth="1"/>
  </x:cols>
  <x:sheetData>
    <x:row r="1" ht="34" customHeight="1">
      <x:c r="A1" s="4" t="str">
        <x:v>Item Master &amp; Reorder Status</x:v>
      </x:c>
      <x:c r="B1" s="4" t="str">
        <x:v>Item Master &amp; Reorder Status</x:v>
      </x:c>
      <x:c r="C1" s="4" t="str">
        <x:v>Item Master &amp; Reorder Status</x:v>
      </x:c>
      <x:c r="D1" s="4" t="str">
        <x:v>Item Master &amp; Reorder Status</x:v>
      </x:c>
      <x:c r="E1" s="4" t="str">
        <x:v>Item Master &amp; Reorder Status</x:v>
      </x:c>
      <x:c r="F1" s="4" t="str">
        <x:v>Item Master &amp; Reorder Status</x:v>
      </x:c>
      <x:c r="G1" s="4" t="str">
        <x:v>Item Master &amp; Reorder Status</x:v>
      </x:c>
      <x:c r="H1" s="4" t="str">
        <x:v>Item Master &amp; Reorder Status</x:v>
      </x:c>
      <x:c r="I1" s="4" t="str">
        <x:v>Item Master &amp; Reorder Status</x:v>
      </x:c>
      <x:c r="J1" s="4" t="str">
        <x:v>Item Master &amp; Reorder Status</x:v>
      </x:c>
      <x:c r="K1" s="4" t="str">
        <x:v>Item Master &amp; Reorder Status</x:v>
      </x:c>
    </x:row>
    <x:row r="2" ht="34" customHeight="1">
      <x:c r="A2" s="4" t="str">
        <x:v>Item Master &amp; Reorder Status</x:v>
      </x:c>
      <x:c r="B2" s="4" t="str">
        <x:v>Item Master &amp; Reorder Status</x:v>
      </x:c>
      <x:c r="C2" s="4" t="str">
        <x:v>Item Master &amp; Reorder Status</x:v>
      </x:c>
      <x:c r="D2" s="4" t="str">
        <x:v>Item Master &amp; Reorder Status</x:v>
      </x:c>
      <x:c r="E2" s="4" t="str">
        <x:v>Item Master &amp; Reorder Status</x:v>
      </x:c>
      <x:c r="F2" s="4" t="str">
        <x:v>Item Master &amp; Reorder Status</x:v>
      </x:c>
      <x:c r="G2" s="4" t="str">
        <x:v>Item Master &amp; Reorder Status</x:v>
      </x:c>
      <x:c r="H2" s="4" t="str">
        <x:v>Item Master &amp; Reorder Status</x:v>
      </x:c>
      <x:c r="I2" s="4" t="str">
        <x:v>Item Master &amp; Reorder Status</x:v>
      </x:c>
      <x:c r="J2" s="4" t="str">
        <x:v>Item Master &amp; Reorder Status</x:v>
      </x:c>
      <x:c r="K2" s="4" t="str">
        <x:v>Item Master &amp; Reorder Status</x:v>
      </x:c>
    </x:row>
    <x:row r="3" ht="32" customHeight="1">
      <x:c r="A3" s="8" t="str">
        <x:v>Blue cells are editable item rules. Grey cells are formula outputs from the Batch Ledger.</x:v>
      </x:c>
      <x:c r="B3" s="8" t="str">
        <x:v>Blue cells are editable item rules. Grey cells are formula outputs from the Batch Ledger.</x:v>
      </x:c>
      <x:c r="C3" s="8" t="str">
        <x:v>Blue cells are editable item rules. Grey cells are formula outputs from the Batch Ledger.</x:v>
      </x:c>
      <x:c r="D3" s="8" t="str">
        <x:v>Blue cells are editable item rules. Grey cells are formula outputs from the Batch Ledger.</x:v>
      </x:c>
      <x:c r="E3" s="8" t="str">
        <x:v>Blue cells are editable item rules. Grey cells are formula outputs from the Batch Ledger.</x:v>
      </x:c>
      <x:c r="F3" s="8" t="str">
        <x:v>Blue cells are editable item rules. Grey cells are formula outputs from the Batch Ledger.</x:v>
      </x:c>
      <x:c r="G3" s="8" t="str">
        <x:v>Blue cells are editable item rules. Grey cells are formula outputs from the Batch Ledger.</x:v>
      </x:c>
      <x:c r="H3" s="8" t="str">
        <x:v>Blue cells are editable item rules. Grey cells are formula outputs from the Batch Ledger.</x:v>
      </x:c>
      <x:c r="I3" s="8" t="str">
        <x:v>Blue cells are editable item rules. Grey cells are formula outputs from the Batch Ledger.</x:v>
      </x:c>
      <x:c r="J3" s="8" t="str">
        <x:v>Blue cells are editable item rules. Grey cells are formula outputs from the Batch Ledger.</x:v>
      </x:c>
      <x:c r="K3" s="8" t="str">
        <x:v>Blue cells are editable item rules. Grey cells are formula outputs from the Batch Ledger.</x:v>
      </x:c>
    </x:row>
    <x:row r="5">
      <x:c r="A5" s="56" t="str">
        <x:v>Synthetic master data — replace only after field names, units, reorder policy and target stock are approved.</x:v>
      </x:c>
      <x:c r="B5" s="56"/>
      <x:c r="C5" s="56"/>
      <x:c r="D5" s="56"/>
      <x:c r="E5" s="56"/>
      <x:c r="F5" s="56"/>
      <x:c r="G5" s="56"/>
      <x:c r="H5" s="56"/>
      <x:c r="I5" s="56"/>
      <x:c r="J5" s="56"/>
      <x:c r="K5" s="56"/>
    </x:row>
    <x:row r="6" ht="32" customHeight="1">
      <x:c r="A6" s="38" t="str">
        <x:v>SKU</x:v>
      </x:c>
      <x:c r="B6" s="38" t="str">
        <x:v>Item Name</x:v>
      </x:c>
      <x:c r="C6" s="38" t="str">
        <x:v>Category</x:v>
      </x:c>
      <x:c r="D6" s="38" t="str">
        <x:v>Unit</x:v>
      </x:c>
      <x:c r="E6" s="38" t="str">
        <x:v>Lead Days</x:v>
      </x:c>
      <x:c r="F6" s="38" t="str">
        <x:v>Reorder Point</x:v>
      </x:c>
      <x:c r="G6" s="38" t="str">
        <x:v>Target Stock</x:v>
      </x:c>
      <x:c r="H6" s="38" t="str">
        <x:v>On Hand</x:v>
      </x:c>
      <x:c r="I6" s="38" t="str">
        <x:v>Stock Status</x:v>
      </x:c>
      <x:c r="J6" s="38" t="str">
        <x:v>Next Expiry</x:v>
      </x:c>
      <x:c r="K6" s="38" t="str">
        <x:v>Qty Expiring ≤30d</x:v>
      </x:c>
    </x:row>
    <x:row r="7">
      <x:c r="A7" s="60" t="str">
        <x:v>RM-TEA-ASSAM</x:v>
      </x:c>
      <x:c r="B7" s="60" t="str">
        <x:v>Assam black tea</x:v>
      </x:c>
      <x:c r="C7" s="60" t="str">
        <x:v>Raw material</x:v>
      </x:c>
      <x:c r="D7" s="60" t="str">
        <x:v>kg</x:v>
      </x:c>
      <x:c r="E7" s="76" t="n">
        <x:v>21</x:v>
      </x:c>
      <x:c r="F7" s="76" t="n">
        <x:v>20</x:v>
      </x:c>
      <x:c r="G7" s="76" t="n">
        <x:v>60</x:v>
      </x:c>
      <x:c r="H7" s="79" t="n">
        <x:f>IF(A7="","",SUMIF('Batch Ledger'!$B$7:$B$24,A7,'Batch Ledger'!$H$7:$H$24))</x:f>
        <x:v>37</x:v>
      </x:c>
      <x:c r="I7" s="71" t="str">
        <x:f>IF(A7="","",IF(H7&lt;=F7,"REORDER",IF(H7&lt;G7,"LOW","OK")))</x:f>
        <x:v>LOW</x:v>
      </x:c>
      <x:c r="J7" s="82" t="n">
        <x:f>IFERROR(MINIFS('Batch Ledger'!$D$7:$D$24,'Batch Ledger'!$B$7:$B$24,A7,'Batch Ledger'!$H$7:$H$24,"&gt;0"),"")</x:f>
        <x:v>46553</x:v>
      </x:c>
      <x:c r="K7" s="79" t="n">
        <x:f>IF(A7="","",SUMIFS('Batch Ledger'!$H$7:$H$24,'Batch Ledger'!$B$7:$B$24,A7,'Batch Ledger'!$J$7:$J$24,"&gt;=0",'Batch Ledger'!$J$7:$J$24,"&lt;=30"))</x:f>
        <x:v>0</x:v>
      </x:c>
    </x:row>
    <x:row r="8">
      <x:c r="A8" s="61" t="str">
        <x:v>RM-TEA-SENCHA</x:v>
      </x:c>
      <x:c r="B8" s="61" t="str">
        <x:v>Sencha green tea</x:v>
      </x:c>
      <x:c r="C8" s="61" t="str">
        <x:v>Raw material</x:v>
      </x:c>
      <x:c r="D8" s="61" t="str">
        <x:v>kg</x:v>
      </x:c>
      <x:c r="E8" s="77" t="n">
        <x:v>28</x:v>
      </x:c>
      <x:c r="F8" s="77" t="n">
        <x:v>15</x:v>
      </x:c>
      <x:c r="G8" s="77" t="n">
        <x:v>40</x:v>
      </x:c>
      <x:c r="H8" s="80" t="n">
        <x:f>IF(A8="","",SUMIF('Batch Ledger'!$B$7:$B$24,A8,'Batch Ledger'!$H$7:$H$24))</x:f>
        <x:v>14</x:v>
      </x:c>
      <x:c r="I8" s="73" t="str">
        <x:f>IF(A8="","",IF(H8&lt;=F8,"REORDER",IF(H8&lt;G8,"LOW","OK")))</x:f>
        <x:v>REORDER</x:v>
      </x:c>
      <x:c r="J8" s="83" t="n">
        <x:f>IFERROR(MINIFS('Batch Ledger'!$D$7:$D$24,'Batch Ledger'!$B$7:$B$24,A8,'Batch Ledger'!$H$7:$H$24,"&gt;0"),"")</x:f>
        <x:v>46204</x:v>
      </x:c>
      <x:c r="K8" s="80" t="n">
        <x:f>IF(A8="","",SUMIFS('Batch Ledger'!$H$7:$H$24,'Batch Ledger'!$B$7:$B$24,A8,'Batch Ledger'!$J$7:$J$24,"&gt;=0",'Batch Ledger'!$J$7:$J$24,"&lt;=30"))</x:f>
        <x:v>10</x:v>
      </x:c>
    </x:row>
    <x:row r="9">
      <x:c r="A9" s="61" t="str">
        <x:v>RM-BOT-BERGAMOT</x:v>
      </x:c>
      <x:c r="B9" s="61" t="str">
        <x:v>Bergamot extract</x:v>
      </x:c>
      <x:c r="C9" s="61" t="str">
        <x:v>Raw material</x:v>
      </x:c>
      <x:c r="D9" s="61" t="str">
        <x:v>ml</x:v>
      </x:c>
      <x:c r="E9" s="77" t="n">
        <x:v>35</x:v>
      </x:c>
      <x:c r="F9" s="77" t="n">
        <x:v>1000</x:v>
      </x:c>
      <x:c r="G9" s="77" t="n">
        <x:v>3000</x:v>
      </x:c>
      <x:c r="H9" s="80" t="n">
        <x:f>IF(A9="","",SUMIF('Batch Ledger'!$B$7:$B$24,A9,'Batch Ledger'!$H$7:$H$24))</x:f>
        <x:v>800</x:v>
      </x:c>
      <x:c r="I9" s="73" t="str">
        <x:f>IF(A9="","",IF(H9&lt;=F9,"REORDER",IF(H9&lt;G9,"LOW","OK")))</x:f>
        <x:v>REORDER</x:v>
      </x:c>
      <x:c r="J9" s="83" t="n">
        <x:f>IFERROR(MINIFS('Batch Ledger'!$D$7:$D$24,'Batch Ledger'!$B$7:$B$24,A9,'Batch Ledger'!$H$7:$H$24,"&gt;0"),"")</x:f>
        <x:v>46235</x:v>
      </x:c>
      <x:c r="K9" s="80" t="n">
        <x:f>IF(A9="","",SUMIFS('Batch Ledger'!$H$7:$H$24,'Batch Ledger'!$B$7:$B$24,A9,'Batch Ledger'!$J$7:$J$24,"&gt;=0",'Batch Ledger'!$J$7:$J$24,"&lt;=30"))</x:f>
        <x:v>800</x:v>
      </x:c>
    </x:row>
    <x:row r="10">
      <x:c r="A10" s="61" t="str">
        <x:v>PKG-POUCH-100</x:v>
      </x:c>
      <x:c r="B10" s="61" t="str">
        <x:v>100 g kraft pouch</x:v>
      </x:c>
      <x:c r="C10" s="61" t="str">
        <x:v>Packaging</x:v>
      </x:c>
      <x:c r="D10" s="61" t="str">
        <x:v>each</x:v>
      </x:c>
      <x:c r="E10" s="77" t="n">
        <x:v>14</x:v>
      </x:c>
      <x:c r="F10" s="77" t="n">
        <x:v>100</x:v>
      </x:c>
      <x:c r="G10" s="77" t="n">
        <x:v>500</x:v>
      </x:c>
      <x:c r="H10" s="80" t="n">
        <x:f>IF(A10="","",SUMIF('Batch Ledger'!$B$7:$B$24,A10,'Batch Ledger'!$H$7:$H$24))</x:f>
        <x:v>50</x:v>
      </x:c>
      <x:c r="I10" s="73" t="str">
        <x:f>IF(A10="","",IF(H10&lt;=F10,"REORDER",IF(H10&lt;G10,"LOW","OK")))</x:f>
        <x:v>REORDER</x:v>
      </x:c>
      <x:c r="J10" s="83" t="n">
        <x:f>IFERROR(MINIFS('Batch Ledger'!$D$7:$D$24,'Batch Ledger'!$B$7:$B$24,A10,'Batch Ledger'!$H$7:$H$24,"&gt;0"),"")</x:f>
        <x:v>47848</x:v>
      </x:c>
      <x:c r="K10" s="80" t="n">
        <x:f>IF(A10="","",SUMIFS('Batch Ledger'!$H$7:$H$24,'Batch Ledger'!$B$7:$B$24,A10,'Batch Ledger'!$J$7:$J$24,"&gt;=0",'Batch Ledger'!$J$7:$J$24,"&lt;=30"))</x:f>
        <x:v>0</x:v>
      </x:c>
    </x:row>
    <x:row r="11">
      <x:c r="A11" s="61" t="str">
        <x:v>BLD-EARL-001</x:v>
      </x:c>
      <x:c r="B11" s="61" t="str">
        <x:v>Earl Grey blend</x:v>
      </x:c>
      <x:c r="C11" s="61" t="str">
        <x:v>Finished blend</x:v>
      </x:c>
      <x:c r="D11" s="61" t="str">
        <x:v>kg</x:v>
      </x:c>
      <x:c r="E11" s="77" t="n">
        <x:v>7</x:v>
      </x:c>
      <x:c r="F11" s="77" t="n">
        <x:v>10</x:v>
      </x:c>
      <x:c r="G11" s="77" t="n">
        <x:v>35</x:v>
      </x:c>
      <x:c r="H11" s="80" t="n">
        <x:f>IF(A11="","",SUMIF('Batch Ledger'!$B$7:$B$24,A11,'Batch Ledger'!$H$7:$H$24))</x:f>
        <x:v>15</x:v>
      </x:c>
      <x:c r="I11" s="73" t="str">
        <x:f>IF(A11="","",IF(H11&lt;=F11,"REORDER",IF(H11&lt;G11,"LOW","OK")))</x:f>
        <x:v>LOW</x:v>
      </x:c>
      <x:c r="J11" s="83" t="n">
        <x:f>IFERROR(MINIFS('Batch Ledger'!$D$7:$D$24,'Batch Ledger'!$B$7:$B$24,A11,'Batch Ledger'!$H$7:$H$24,"&gt;0"),"")</x:f>
        <x:v>46254</x:v>
      </x:c>
      <x:c r="K11" s="80" t="n">
        <x:f>IF(A11="","",SUMIFS('Batch Ledger'!$H$7:$H$24,'Batch Ledger'!$B$7:$B$24,A11,'Batch Ledger'!$J$7:$J$24,"&gt;=0",'Batch Ledger'!$J$7:$J$24,"&lt;=30"))</x:f>
        <x:v>15</x:v>
      </x:c>
    </x:row>
    <x:row r="12">
      <x:c r="A12" s="62" t="str">
        <x:v>BLD-GREEN-001</x:v>
      </x:c>
      <x:c r="B12" s="62" t="str">
        <x:v>Jasmine green blend</x:v>
      </x:c>
      <x:c r="C12" s="62" t="str">
        <x:v>Finished blend</x:v>
      </x:c>
      <x:c r="D12" s="62" t="str">
        <x:v>kg</x:v>
      </x:c>
      <x:c r="E12" s="78" t="n">
        <x:v>7</x:v>
      </x:c>
      <x:c r="F12" s="78" t="n">
        <x:v>8</x:v>
      </x:c>
      <x:c r="G12" s="78" t="n">
        <x:v>25</x:v>
      </x:c>
      <x:c r="H12" s="81" t="n">
        <x:f>IF(A12="","",SUMIF('Batch Ledger'!$B$7:$B$24,A12,'Batch Ledger'!$H$7:$H$24))</x:f>
        <x:v>8</x:v>
      </x:c>
      <x:c r="I12" s="75" t="str">
        <x:f>IF(A12="","",IF(H12&lt;=F12,"REORDER",IF(H12&lt;G12,"LOW","OK")))</x:f>
        <x:v>REORDER</x:v>
      </x:c>
      <x:c r="J12" s="84" t="n">
        <x:f>IFERROR(MINIFS('Batch Ledger'!$D$7:$D$24,'Batch Ledger'!$B$7:$B$24,A12,'Batch Ledger'!$H$7:$H$24,"&gt;0"),"")</x:f>
        <x:v>46280</x:v>
      </x:c>
      <x:c r="K12" s="81" t="n">
        <x:f>IF(A12="","",SUMIFS('Batch Ledger'!$H$7:$H$24,'Batch Ledger'!$B$7:$B$24,A12,'Batch Ledger'!$J$7:$J$24,"&gt;=0",'Batch Ledger'!$J$7:$J$24,"&lt;=30"))</x:f>
        <x:v>0</x:v>
      </x:c>
    </x:row>
  </x:sheetData>
  <x:mergeCells>
    <x:mergeCell ref="A1:K2"/>
    <x:mergeCell ref="A3:K3"/>
    <x:mergeCell ref="A5:K5"/>
  </x:mergeCells>
  <x:conditionalFormatting sqref="I7:I12">
    <x:cfRule type="containsText" dxfId="3" priority="1" operator="containsText" text="REORDER"/>
    <x:cfRule type="containsText" dxfId="4" priority="2" operator="containsText" text="LOW"/>
    <x:cfRule type="containsText" dxfId="5" priority="3" operator="containsText" text="OK"/>
  </x:conditionalFormatting>
  <x:conditionalFormatting sqref="K7:K12">
    <x:cfRule type="cellIs" dxfId="6" priority="4" operator="greaterThan">
      <x:formula>0</x:formula>
    </x:cfRule>
  </x:conditionalFormatting>
  <x:dataValidations count="1">
    <x:dataValidation type="list" sqref="C7:C12">
      <x:formula1>"Raw material,Packaging,Finished blend"</x:formula1>
    </x:dataValidation>
  </x:dataValidations>
  <x:pageMargins left="0.7" right="0.7" top="0.75" bottom="0.75" header="0.3" footer="0.3"/>
  <x:legacyDrawing xmlns:r="http://schemas.openxmlformats.org/officeDocument/2006/relationships" r:id="R3366b3931d0f42e2"/>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18" hidden="0" customWidth="1"/>
    <x:col min="4" max="4" width="18" hidden="0" customWidth="1"/>
    <x:col min="5" max="5" width="16" hidden="0" customWidth="1"/>
    <x:col min="6" max="6" width="14" hidden="0" customWidth="1"/>
    <x:col min="7" max="7" width="14" hidden="0" customWidth="1"/>
    <x:col min="8" max="8" width="14" hidden="0" customWidth="1"/>
    <x:col min="9" max="9" width="14" hidden="0" customWidth="1"/>
    <x:col min="10" max="10" width="14" hidden="0" customWidth="1"/>
    <x:col min="11" max="11" width="15" hidden="0" customWidth="1"/>
    <x:col min="12" max="12" width="28" hidden="0" customWidth="1"/>
  </x:cols>
  <x:sheetData>
    <x:row r="1" ht="34" customHeight="1">
      <x:c r="A1" s="4" t="str">
        <x:v>Batch Ledger</x:v>
      </x:c>
      <x:c r="B1" s="4" t="str">
        <x:v>Batch Ledger</x:v>
      </x:c>
      <x:c r="C1" s="4" t="str">
        <x:v>Batch Ledger</x:v>
      </x:c>
      <x:c r="D1" s="4" t="str">
        <x:v>Batch Ledger</x:v>
      </x:c>
      <x:c r="E1" s="4" t="str">
        <x:v>Batch Ledger</x:v>
      </x:c>
      <x:c r="F1" s="4" t="str">
        <x:v>Batch Ledger</x:v>
      </x:c>
      <x:c r="G1" s="4" t="str">
        <x:v>Batch Ledger</x:v>
      </x:c>
      <x:c r="H1" s="4" t="str">
        <x:v>Batch Ledger</x:v>
      </x:c>
      <x:c r="I1" s="4" t="str">
        <x:v>Batch Ledger</x:v>
      </x:c>
      <x:c r="J1" s="4" t="str">
        <x:v>Batch Ledger</x:v>
      </x:c>
      <x:c r="K1" s="4" t="str">
        <x:v>Batch Ledger</x:v>
      </x:c>
      <x:c r="L1" s="4" t="str">
        <x:v>Batch Ledger</x:v>
      </x:c>
    </x:row>
    <x:row r="2" ht="34" customHeight="1">
      <x:c r="A2" s="4" t="str">
        <x:v>Batch Ledger</x:v>
      </x:c>
      <x:c r="B2" s="4" t="str">
        <x:v>Batch Ledger</x:v>
      </x:c>
      <x:c r="C2" s="4" t="str">
        <x:v>Batch Ledger</x:v>
      </x:c>
      <x:c r="D2" s="4" t="str">
        <x:v>Batch Ledger</x:v>
      </x:c>
      <x:c r="E2" s="4" t="str">
        <x:v>Batch Ledger</x:v>
      </x:c>
      <x:c r="F2" s="4" t="str">
        <x:v>Batch Ledger</x:v>
      </x:c>
      <x:c r="G2" s="4" t="str">
        <x:v>Batch Ledger</x:v>
      </x:c>
      <x:c r="H2" s="4" t="str">
        <x:v>Batch Ledger</x:v>
      </x:c>
      <x:c r="I2" s="4" t="str">
        <x:v>Batch Ledger</x:v>
      </x:c>
      <x:c r="J2" s="4" t="str">
        <x:v>Batch Ledger</x:v>
      </x:c>
      <x:c r="K2" s="4" t="str">
        <x:v>Batch Ledger</x:v>
      </x:c>
      <x:c r="L2" s="4" t="str">
        <x:v>Batch Ledger</x:v>
      </x:c>
    </x:row>
    <x:row r="3" ht="32" customHeight="1">
      <x:c r="A3" s="8" t="str">
        <x:v>Append authorized batch records in blue cells. Quantities, age, expiry and status are calculated in grey cells.</x:v>
      </x:c>
      <x:c r="B3" s="8" t="str">
        <x:v>Append authorized batch records in blue cells. Quantities, age, expiry and status are calculated in grey cells.</x:v>
      </x:c>
      <x:c r="C3" s="8" t="str">
        <x:v>Append authorized batch records in blue cells. Quantities, age, expiry and status are calculated in grey cells.</x:v>
      </x:c>
      <x:c r="D3" s="8" t="str">
        <x:v>Append authorized batch records in blue cells. Quantities, age, expiry and status are calculated in grey cells.</x:v>
      </x:c>
      <x:c r="E3" s="8" t="str">
        <x:v>Append authorized batch records in blue cells. Quantities, age, expiry and status are calculated in grey cells.</x:v>
      </x:c>
      <x:c r="F3" s="8" t="str">
        <x:v>Append authorized batch records in blue cells. Quantities, age, expiry and status are calculated in grey cells.</x:v>
      </x:c>
      <x:c r="G3" s="8" t="str">
        <x:v>Append authorized batch records in blue cells. Quantities, age, expiry and status are calculated in grey cells.</x:v>
      </x:c>
      <x:c r="H3" s="8" t="str">
        <x:v>Append authorized batch records in blue cells. Quantities, age, expiry and status are calculated in grey cells.</x:v>
      </x:c>
      <x:c r="I3" s="8" t="str">
        <x:v>Append authorized batch records in blue cells. Quantities, age, expiry and status are calculated in grey cells.</x:v>
      </x:c>
      <x:c r="J3" s="8" t="str">
        <x:v>Append authorized batch records in blue cells. Quantities, age, expiry and status are calculated in grey cells.</x:v>
      </x:c>
      <x:c r="K3" s="8" t="str">
        <x:v>Append authorized batch records in blue cells. Quantities, age, expiry and status are calculated in grey cells.</x:v>
      </x:c>
      <x:c r="L3" s="8" t="str">
        <x:v>Append authorized batch records in blue cells. Quantities, age, expiry and status are calculated in grey cells.</x:v>
      </x:c>
    </x:row>
    <x:row r="5">
      <x:c r="A5" s="56" t="str">
        <x:v>All names, lots and quantities below are fictional. Blank rows are reserved for additional authorized records.</x:v>
      </x:c>
      <x:c r="B5" s="56"/>
      <x:c r="C5" s="56"/>
      <x:c r="D5" s="56"/>
      <x:c r="E5" s="56"/>
      <x:c r="F5" s="56"/>
      <x:c r="G5" s="56"/>
      <x:c r="H5" s="56"/>
      <x:c r="I5" s="56"/>
      <x:c r="J5" s="56"/>
      <x:c r="K5" s="56"/>
      <x:c r="L5" s="56"/>
    </x:row>
    <x:row r="6" ht="32" customHeight="1">
      <x:c r="A6" s="38" t="str">
        <x:v>Batch ID</x:v>
      </x:c>
      <x:c r="B6" s="38" t="str">
        <x:v>SKU</x:v>
      </x:c>
      <x:c r="C6" s="38" t="str">
        <x:v>Received / Blend Date</x:v>
      </x:c>
      <x:c r="D6" s="38" t="str">
        <x:v>Expiry Date</x:v>
      </x:c>
      <x:c r="E6" s="38" t="str">
        <x:v>Source Lot</x:v>
      </x:c>
      <x:c r="F6" s="38" t="str">
        <x:v>Qty Received</x:v>
      </x:c>
      <x:c r="G6" s="38" t="str">
        <x:v>Qty Used</x:v>
      </x:c>
      <x:c r="H6" s="38" t="str">
        <x:v>Qty On Hand</x:v>
      </x:c>
      <x:c r="I6" s="38" t="str">
        <x:v>Age Days</x:v>
      </x:c>
      <x:c r="J6" s="38" t="str">
        <x:v>Days to Expiry</x:v>
      </x:c>
      <x:c r="K6" s="38" t="str">
        <x:v>Expiry Status</x:v>
      </x:c>
      <x:c r="L6" s="38" t="str">
        <x:v>Notes</x:v>
      </x:c>
    </x:row>
    <x:row r="7">
      <x:c r="A7" s="60" t="str">
        <x:v>B-ASSAM-260615</x:v>
      </x:c>
      <x:c r="B7" s="60" t="str">
        <x:v>RM-TEA-ASSAM</x:v>
      </x:c>
      <x:c r="C7" s="85" t="n">
        <x:v>46188</x:v>
      </x:c>
      <x:c r="D7" s="85" t="n">
        <x:v>46553</x:v>
      </x:c>
      <x:c r="E7" s="60" t="str">
        <x:v>SUP-A-0615</x:v>
      </x:c>
      <x:c r="F7" s="88" t="n">
        <x:v>30</x:v>
      </x:c>
      <x:c r="G7" s="88" t="n">
        <x:v>18</x:v>
      </x:c>
      <x:c r="H7" s="89" t="n">
        <x:f>IF(A7="","",F7-G7)</x:f>
        <x:v>12</x:v>
      </x:c>
      <x:c r="I7" s="94" t="n">
        <x:f>IF(A7="","",'Guide'!$B$5-C7)</x:f>
        <x:v>40</x:v>
      </x:c>
      <x:c r="J7" s="94" t="n">
        <x:f>IF(A7="","",D7-'Guide'!$B$5)</x:f>
        <x:v>325</x:v>
      </x:c>
      <x:c r="K7" s="67" t="str">
        <x:f>IF(A7="","",IF(H7=0,"CLOSED",IF(J7&lt;0,"EXPIRED",IF(J7&lt;=30,"EXPIRING","CURRENT"))))</x:f>
        <x:v>CURRENT</x:v>
      </x:c>
      <x:c r="L7" s="60" t="str">
        <x:v>Current raw-material lot</x:v>
      </x:c>
    </x:row>
    <x:row r="8">
      <x:c r="A8" s="61" t="str">
        <x:v>B-ASSAM-260710</x:v>
      </x:c>
      <x:c r="B8" s="61" t="str">
        <x:v>RM-TEA-ASSAM</x:v>
      </x:c>
      <x:c r="C8" s="86" t="n">
        <x:v>46213</x:v>
      </x:c>
      <x:c r="D8" s="86" t="n">
        <x:v>46578</x:v>
      </x:c>
      <x:c r="E8" s="61" t="str">
        <x:v>SUP-A-0710</x:v>
      </x:c>
      <x:c r="F8" s="90" t="n">
        <x:v>25</x:v>
      </x:c>
      <x:c r="G8" s="90" t="n">
        <x:v>0</x:v>
      </x:c>
      <x:c r="H8" s="91" t="n">
        <x:f>IF(A8="","",F8-G8)</x:f>
        <x:v>25</x:v>
      </x:c>
      <x:c r="I8" s="95" t="n">
        <x:f>IF(A8="","",'Guide'!$B$5-C8)</x:f>
        <x:v>15</x:v>
      </x:c>
      <x:c r="J8" s="95" t="n">
        <x:f>IF(A8="","",D8-'Guide'!$B$5)</x:f>
        <x:v>350</x:v>
      </x:c>
      <x:c r="K8" s="68" t="str">
        <x:f>IF(A8="","",IF(H8=0,"CLOSED",IF(J8&lt;0,"EXPIRED",IF(J8&lt;=30,"EXPIRING","CURRENT"))))</x:f>
        <x:v>CURRENT</x:v>
      </x:c>
      <x:c r="L8" s="61" t="str">
        <x:v>New replenishment lot</x:v>
      </x:c>
    </x:row>
    <x:row r="9">
      <x:c r="A9" s="61" t="str">
        <x:v>B-SENCHA-260510</x:v>
      </x:c>
      <x:c r="B9" s="61" t="str">
        <x:v>RM-TEA-SENCHA</x:v>
      </x:c>
      <x:c r="C9" s="86" t="n">
        <x:v>46152</x:v>
      </x:c>
      <x:c r="D9" s="86" t="n">
        <x:v>46244</x:v>
      </x:c>
      <x:c r="E9" s="61" t="str">
        <x:v>SUP-S-0510</x:v>
      </x:c>
      <x:c r="F9" s="90" t="n">
        <x:v>15</x:v>
      </x:c>
      <x:c r="G9" s="90" t="n">
        <x:v>5</x:v>
      </x:c>
      <x:c r="H9" s="91" t="n">
        <x:f>IF(A9="","",F9-G9)</x:f>
        <x:v>10</x:v>
      </x:c>
      <x:c r="I9" s="95" t="n">
        <x:f>IF(A9="","",'Guide'!$B$5-C9)</x:f>
        <x:v>76</x:v>
      </x:c>
      <x:c r="J9" s="95" t="n">
        <x:f>IF(A9="","",D9-'Guide'!$B$5)</x:f>
        <x:v>16</x:v>
      </x:c>
      <x:c r="K9" s="68" t="str">
        <x:f>IF(A9="","",IF(H9=0,"CLOSED",IF(J9&lt;0,"EXPIRED",IF(J9&lt;=30,"EXPIRING","CURRENT"))))</x:f>
        <x:v>EXPIRING</x:v>
      </x:c>
      <x:c r="L9" s="61" t="str">
        <x:v>Use before replenishing</x:v>
      </x:c>
    </x:row>
    <x:row r="10">
      <x:c r="A10" s="61" t="str">
        <x:v>B-BERG-260301</x:v>
      </x:c>
      <x:c r="B10" s="61" t="str">
        <x:v>RM-BOT-BERGAMOT</x:v>
      </x:c>
      <x:c r="C10" s="86" t="n">
        <x:v>46082</x:v>
      </x:c>
      <x:c r="D10" s="86" t="n">
        <x:v>46235</x:v>
      </x:c>
      <x:c r="E10" s="61" t="str">
        <x:v>SUP-B-0301</x:v>
      </x:c>
      <x:c r="F10" s="90" t="n">
        <x:v>1400</x:v>
      </x:c>
      <x:c r="G10" s="90" t="n">
        <x:v>600</x:v>
      </x:c>
      <x:c r="H10" s="91" t="n">
        <x:f>IF(A10="","",F10-G10)</x:f>
        <x:v>800</x:v>
      </x:c>
      <x:c r="I10" s="95" t="n">
        <x:f>IF(A10="","",'Guide'!$B$5-C10)</x:f>
        <x:v>146</x:v>
      </x:c>
      <x:c r="J10" s="95" t="n">
        <x:f>IF(A10="","",D10-'Guide'!$B$5)</x:f>
        <x:v>7</x:v>
      </x:c>
      <x:c r="K10" s="68" t="str">
        <x:f>IF(A10="","",IF(H10=0,"CLOSED",IF(J10&lt;0,"EXPIRED",IF(J10&lt;=30,"EXPIRING","CURRENT"))))</x:f>
        <x:v>EXPIRING</x:v>
      </x:c>
      <x:c r="L10" s="61" t="str">
        <x:v>Expiry risk; review before use</x:v>
      </x:c>
    </x:row>
    <x:row r="11">
      <x:c r="A11" s="61" t="str">
        <x:v>B-POUCH-260701</x:v>
      </x:c>
      <x:c r="B11" s="61" t="str">
        <x:v>PKG-POUCH-100</x:v>
      </x:c>
      <x:c r="C11" s="86" t="n">
        <x:v>46204</x:v>
      </x:c>
      <x:c r="D11" s="86" t="n">
        <x:v>47848</x:v>
      </x:c>
      <x:c r="E11" s="61" t="str">
        <x:v>SUP-P-0701</x:v>
      </x:c>
      <x:c r="F11" s="90" t="n">
        <x:v>500</x:v>
      </x:c>
      <x:c r="G11" s="90" t="n">
        <x:v>450</x:v>
      </x:c>
      <x:c r="H11" s="91" t="n">
        <x:f>IF(A11="","",F11-G11)</x:f>
        <x:v>50</x:v>
      </x:c>
      <x:c r="I11" s="95" t="n">
        <x:f>IF(A11="","",'Guide'!$B$5-C11)</x:f>
        <x:v>24</x:v>
      </x:c>
      <x:c r="J11" s="95" t="n">
        <x:f>IF(A11="","",D11-'Guide'!$B$5)</x:f>
        <x:v>1620</x:v>
      </x:c>
      <x:c r="K11" s="68" t="str">
        <x:f>IF(A11="","",IF(H11=0,"CLOSED",IF(J11&lt;0,"EXPIRED",IF(J11&lt;=30,"EXPIRING","CURRENT"))))</x:f>
        <x:v>CURRENT</x:v>
      </x:c>
      <x:c r="L11" s="61" t="str">
        <x:v>Packaging stock</x:v>
      </x:c>
    </x:row>
    <x:row r="12">
      <x:c r="A12" s="61" t="str">
        <x:v>B-EARL-260720</x:v>
      </x:c>
      <x:c r="B12" s="61" t="str">
        <x:v>BLD-EARL-001</x:v>
      </x:c>
      <x:c r="C12" s="86" t="n">
        <x:v>46223</x:v>
      </x:c>
      <x:c r="D12" s="86" t="n">
        <x:v>46254</x:v>
      </x:c>
      <x:c r="E12" s="61" t="str">
        <x:v>BLEND-0720</x:v>
      </x:c>
      <x:c r="F12" s="90" t="n">
        <x:v>20</x:v>
      </x:c>
      <x:c r="G12" s="90" t="n">
        <x:v>5</x:v>
      </x:c>
      <x:c r="H12" s="91" t="n">
        <x:f>IF(A12="","",F12-G12)</x:f>
        <x:v>15</x:v>
      </x:c>
      <x:c r="I12" s="95" t="n">
        <x:f>IF(A12="","",'Guide'!$B$5-C12)</x:f>
        <x:v>5</x:v>
      </x:c>
      <x:c r="J12" s="95" t="n">
        <x:f>IF(A12="","",D12-'Guide'!$B$5)</x:f>
        <x:v>26</x:v>
      </x:c>
      <x:c r="K12" s="68" t="str">
        <x:f>IF(A12="","",IF(H12=0,"CLOSED",IF(J12&lt;0,"EXPIRED",IF(J12&lt;=30,"EXPIRING","CURRENT"))))</x:f>
        <x:v>EXPIRING</x:v>
      </x:c>
      <x:c r="L12" s="61" t="str">
        <x:v>Finished blend; near-term sale</x:v>
      </x:c>
    </x:row>
    <x:row r="13">
      <x:c r="A13" s="61" t="str">
        <x:v>B-GREEN-260625</x:v>
      </x:c>
      <x:c r="B13" s="61" t="str">
        <x:v>BLD-GREEN-001</x:v>
      </x:c>
      <x:c r="C13" s="86" t="n">
        <x:v>46198</x:v>
      </x:c>
      <x:c r="D13" s="86" t="n">
        <x:v>46280</x:v>
      </x:c>
      <x:c r="E13" s="61" t="str">
        <x:v>BLEND-0625</x:v>
      </x:c>
      <x:c r="F13" s="90" t="n">
        <x:v>12</x:v>
      </x:c>
      <x:c r="G13" s="90" t="n">
        <x:v>4</x:v>
      </x:c>
      <x:c r="H13" s="91" t="n">
        <x:f>IF(A13="","",F13-G13)</x:f>
        <x:v>8</x:v>
      </x:c>
      <x:c r="I13" s="95" t="n">
        <x:f>IF(A13="","",'Guide'!$B$5-C13)</x:f>
        <x:v>30</x:v>
      </x:c>
      <x:c r="J13" s="95" t="n">
        <x:f>IF(A13="","",D13-'Guide'!$B$5)</x:f>
        <x:v>52</x:v>
      </x:c>
      <x:c r="K13" s="68" t="str">
        <x:f>IF(A13="","",IF(H13=0,"CLOSED",IF(J13&lt;0,"EXPIRED",IF(J13&lt;=30,"EXPIRING","CURRENT"))))</x:f>
        <x:v>CURRENT</x:v>
      </x:c>
      <x:c r="L13" s="61" t="str">
        <x:v>Finished blend</x:v>
      </x:c>
    </x:row>
    <x:row r="14">
      <x:c r="A14" s="61" t="str">
        <x:v>B-SENCHA-260101</x:v>
      </x:c>
      <x:c r="B14" s="61" t="str">
        <x:v>RM-TEA-SENCHA</x:v>
      </x:c>
      <x:c r="C14" s="86" t="n">
        <x:v>46023</x:v>
      </x:c>
      <x:c r="D14" s="86" t="n">
        <x:v>46204</x:v>
      </x:c>
      <x:c r="E14" s="61" t="str">
        <x:v>SUP-S-0101</x:v>
      </x:c>
      <x:c r="F14" s="90" t="n">
        <x:v>8</x:v>
      </x:c>
      <x:c r="G14" s="90" t="n">
        <x:v>4</x:v>
      </x:c>
      <x:c r="H14" s="91" t="n">
        <x:f>IF(A14="","",F14-G14)</x:f>
        <x:v>4</x:v>
      </x:c>
      <x:c r="I14" s="95" t="n">
        <x:f>IF(A14="","",'Guide'!$B$5-C14)</x:f>
        <x:v>205</x:v>
      </x:c>
      <x:c r="J14" s="95" t="n">
        <x:f>IF(A14="","",D14-'Guide'!$B$5)</x:f>
        <x:v>-24</x:v>
      </x:c>
      <x:c r="K14" s="68" t="str">
        <x:f>IF(A14="","",IF(H14=0,"CLOSED",IF(J14&lt;0,"EXPIRED",IF(J14&lt;=30,"EXPIRING","CURRENT"))))</x:f>
        <x:v>EXPIRED</x:v>
      </x:c>
      <x:c r="L14" s="61" t="str">
        <x:v>Expired residual; quarantine</x:v>
      </x:c>
    </x:row>
    <x:row r="15">
      <x:c r="A15" s="61"/>
      <x:c r="B15" s="61"/>
      <x:c r="C15" s="86"/>
      <x:c r="D15" s="86"/>
      <x:c r="E15" s="61"/>
      <x:c r="F15" s="90"/>
      <x:c r="G15" s="90"/>
      <x:c r="H15" s="91" t="str">
        <x:f>IF(A15="","",F15-G15)</x:f>
      </x:c>
      <x:c r="I15" s="95" t="str">
        <x:f>IF(A15="","",'Guide'!$B$5-C15)</x:f>
      </x:c>
      <x:c r="J15" s="95" t="str">
        <x:f>IF(A15="","",D15-'Guide'!$B$5)</x:f>
      </x:c>
      <x:c r="K15" s="68" t="str">
        <x:f>IF(A15="","",IF(H15=0,"CLOSED",IF(J15&lt;0,"EXPIRED",IF(J15&lt;=30,"EXPIRING","CURRENT"))))</x:f>
      </x:c>
      <x:c r="L15" s="61"/>
    </x:row>
    <x:row r="16">
      <x:c r="A16" s="61"/>
      <x:c r="B16" s="61"/>
      <x:c r="C16" s="86"/>
      <x:c r="D16" s="86"/>
      <x:c r="E16" s="61"/>
      <x:c r="F16" s="90"/>
      <x:c r="G16" s="90"/>
      <x:c r="H16" s="91" t="str">
        <x:f>IF(A16="","",F16-G16)</x:f>
      </x:c>
      <x:c r="I16" s="95" t="str">
        <x:f>IF(A16="","",'Guide'!$B$5-C16)</x:f>
      </x:c>
      <x:c r="J16" s="95" t="str">
        <x:f>IF(A16="","",D16-'Guide'!$B$5)</x:f>
      </x:c>
      <x:c r="K16" s="68" t="str">
        <x:f>IF(A16="","",IF(H16=0,"CLOSED",IF(J16&lt;0,"EXPIRED",IF(J16&lt;=30,"EXPIRING","CURRENT"))))</x:f>
      </x:c>
      <x:c r="L16" s="61"/>
    </x:row>
    <x:row r="17">
      <x:c r="A17" s="61"/>
      <x:c r="B17" s="61"/>
      <x:c r="C17" s="86"/>
      <x:c r="D17" s="86"/>
      <x:c r="E17" s="61"/>
      <x:c r="F17" s="90"/>
      <x:c r="G17" s="90"/>
      <x:c r="H17" s="91" t="str">
        <x:f>IF(A17="","",F17-G17)</x:f>
      </x:c>
      <x:c r="I17" s="95" t="str">
        <x:f>IF(A17="","",'Guide'!$B$5-C17)</x:f>
      </x:c>
      <x:c r="J17" s="95" t="str">
        <x:f>IF(A17="","",D17-'Guide'!$B$5)</x:f>
      </x:c>
      <x:c r="K17" s="68" t="str">
        <x:f>IF(A17="","",IF(H17=0,"CLOSED",IF(J17&lt;0,"EXPIRED",IF(J17&lt;=30,"EXPIRING","CURRENT"))))</x:f>
      </x:c>
      <x:c r="L17" s="61"/>
    </x:row>
    <x:row r="18">
      <x:c r="A18" s="61"/>
      <x:c r="B18" s="61"/>
      <x:c r="C18" s="86"/>
      <x:c r="D18" s="86"/>
      <x:c r="E18" s="61"/>
      <x:c r="F18" s="90"/>
      <x:c r="G18" s="90"/>
      <x:c r="H18" s="91" t="str">
        <x:f>IF(A18="","",F18-G18)</x:f>
      </x:c>
      <x:c r="I18" s="95" t="str">
        <x:f>IF(A18="","",'Guide'!$B$5-C18)</x:f>
      </x:c>
      <x:c r="J18" s="95" t="str">
        <x:f>IF(A18="","",D18-'Guide'!$B$5)</x:f>
      </x:c>
      <x:c r="K18" s="68" t="str">
        <x:f>IF(A18="","",IF(H18=0,"CLOSED",IF(J18&lt;0,"EXPIRED",IF(J18&lt;=30,"EXPIRING","CURRENT"))))</x:f>
      </x:c>
      <x:c r="L18" s="61"/>
    </x:row>
    <x:row r="19">
      <x:c r="A19" s="61"/>
      <x:c r="B19" s="61"/>
      <x:c r="C19" s="86"/>
      <x:c r="D19" s="86"/>
      <x:c r="E19" s="61"/>
      <x:c r="F19" s="90"/>
      <x:c r="G19" s="90"/>
      <x:c r="H19" s="91" t="str">
        <x:f>IF(A19="","",F19-G19)</x:f>
      </x:c>
      <x:c r="I19" s="95" t="str">
        <x:f>IF(A19="","",'Guide'!$B$5-C19)</x:f>
      </x:c>
      <x:c r="J19" s="95" t="str">
        <x:f>IF(A19="","",D19-'Guide'!$B$5)</x:f>
      </x:c>
      <x:c r="K19" s="68" t="str">
        <x:f>IF(A19="","",IF(H19=0,"CLOSED",IF(J19&lt;0,"EXPIRED",IF(J19&lt;=30,"EXPIRING","CURRENT"))))</x:f>
      </x:c>
      <x:c r="L19" s="61"/>
    </x:row>
    <x:row r="20">
      <x:c r="A20" s="61"/>
      <x:c r="B20" s="61"/>
      <x:c r="C20" s="86"/>
      <x:c r="D20" s="86"/>
      <x:c r="E20" s="61"/>
      <x:c r="F20" s="90"/>
      <x:c r="G20" s="90"/>
      <x:c r="H20" s="91" t="str">
        <x:f>IF(A20="","",F20-G20)</x:f>
      </x:c>
      <x:c r="I20" s="95" t="str">
        <x:f>IF(A20="","",'Guide'!$B$5-C20)</x:f>
      </x:c>
      <x:c r="J20" s="95" t="str">
        <x:f>IF(A20="","",D20-'Guide'!$B$5)</x:f>
      </x:c>
      <x:c r="K20" s="68" t="str">
        <x:f>IF(A20="","",IF(H20=0,"CLOSED",IF(J20&lt;0,"EXPIRED",IF(J20&lt;=30,"EXPIRING","CURRENT"))))</x:f>
      </x:c>
      <x:c r="L20" s="61"/>
    </x:row>
    <x:row r="21">
      <x:c r="A21" s="61"/>
      <x:c r="B21" s="61"/>
      <x:c r="C21" s="86"/>
      <x:c r="D21" s="86"/>
      <x:c r="E21" s="61"/>
      <x:c r="F21" s="90"/>
      <x:c r="G21" s="90"/>
      <x:c r="H21" s="91" t="str">
        <x:f>IF(A21="","",F21-G21)</x:f>
      </x:c>
      <x:c r="I21" s="95" t="str">
        <x:f>IF(A21="","",'Guide'!$B$5-C21)</x:f>
      </x:c>
      <x:c r="J21" s="95" t="str">
        <x:f>IF(A21="","",D21-'Guide'!$B$5)</x:f>
      </x:c>
      <x:c r="K21" s="68" t="str">
        <x:f>IF(A21="","",IF(H21=0,"CLOSED",IF(J21&lt;0,"EXPIRED",IF(J21&lt;=30,"EXPIRING","CURRENT"))))</x:f>
      </x:c>
      <x:c r="L21" s="61"/>
    </x:row>
    <x:row r="22">
      <x:c r="A22" s="61"/>
      <x:c r="B22" s="61"/>
      <x:c r="C22" s="86"/>
      <x:c r="D22" s="86"/>
      <x:c r="E22" s="61"/>
      <x:c r="F22" s="90"/>
      <x:c r="G22" s="90"/>
      <x:c r="H22" s="91" t="str">
        <x:f>IF(A22="","",F22-G22)</x:f>
      </x:c>
      <x:c r="I22" s="95" t="str">
        <x:f>IF(A22="","",'Guide'!$B$5-C22)</x:f>
      </x:c>
      <x:c r="J22" s="95" t="str">
        <x:f>IF(A22="","",D22-'Guide'!$B$5)</x:f>
      </x:c>
      <x:c r="K22" s="68" t="str">
        <x:f>IF(A22="","",IF(H22=0,"CLOSED",IF(J22&lt;0,"EXPIRED",IF(J22&lt;=30,"EXPIRING","CURRENT"))))</x:f>
      </x:c>
      <x:c r="L22" s="61"/>
    </x:row>
    <x:row r="23">
      <x:c r="A23" s="61"/>
      <x:c r="B23" s="61"/>
      <x:c r="C23" s="86"/>
      <x:c r="D23" s="86"/>
      <x:c r="E23" s="61"/>
      <x:c r="F23" s="90"/>
      <x:c r="G23" s="90"/>
      <x:c r="H23" s="91" t="str">
        <x:f>IF(A23="","",F23-G23)</x:f>
      </x:c>
      <x:c r="I23" s="95" t="str">
        <x:f>IF(A23="","",'Guide'!$B$5-C23)</x:f>
      </x:c>
      <x:c r="J23" s="95" t="str">
        <x:f>IF(A23="","",D23-'Guide'!$B$5)</x:f>
      </x:c>
      <x:c r="K23" s="68" t="str">
        <x:f>IF(A23="","",IF(H23=0,"CLOSED",IF(J23&lt;0,"EXPIRED",IF(J23&lt;=30,"EXPIRING","CURRENT"))))</x:f>
      </x:c>
      <x:c r="L23" s="61"/>
    </x:row>
    <x:row r="24">
      <x:c r="A24" s="62"/>
      <x:c r="B24" s="62"/>
      <x:c r="C24" s="87"/>
      <x:c r="D24" s="87"/>
      <x:c r="E24" s="62"/>
      <x:c r="F24" s="92"/>
      <x:c r="G24" s="92"/>
      <x:c r="H24" s="93" t="str">
        <x:f>IF(A24="","",F24-G24)</x:f>
      </x:c>
      <x:c r="I24" s="96" t="str">
        <x:f>IF(A24="","",'Guide'!$B$5-C24)</x:f>
      </x:c>
      <x:c r="J24" s="96" t="str">
        <x:f>IF(A24="","",D24-'Guide'!$B$5)</x:f>
      </x:c>
      <x:c r="K24" s="69" t="str">
        <x:f>IF(A24="","",IF(H24=0,"CLOSED",IF(J24&lt;0,"EXPIRED",IF(J24&lt;=30,"EXPIRING","CURRENT"))))</x:f>
      </x:c>
      <x:c r="L24" s="62"/>
    </x:row>
  </x:sheetData>
  <x:mergeCells>
    <x:mergeCell ref="A1:L2"/>
    <x:mergeCell ref="A3:L3"/>
    <x:mergeCell ref="A5:L5"/>
  </x:mergeCells>
  <x:conditionalFormatting sqref="K7:K24">
    <x:cfRule type="containsText" dxfId="7" priority="1" operator="containsText" text="EXPIRED"/>
    <x:cfRule type="containsText" dxfId="8" priority="2" operator="containsText" text="EXPIRING"/>
    <x:cfRule type="containsText" dxfId="9" priority="3" operator="containsText" text="CURRENT"/>
  </x:conditionalFormatting>
  <x:dataValidations count="1">
    <x:dataValidation type="list" sqref="B7:B24">
      <x:formula1>Items!$A$7:$A$12</x:formula1>
    </x:dataValidation>
  </x:dataValidations>
  <x:pageMargins left="0.7" right="0.7" top="0.75" bottom="0.75" header="0.3" footer="0.3"/>
  <x:legacyDrawing xmlns:r="http://schemas.openxmlformats.org/officeDocument/2006/relationships" r:id="Rd22d8af9a9134f89"/>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2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4" customHeight="1">
      <x:c r="A1" s="4" t="str">
        <x:v>Guide, Assumptions &amp; Audit Boundary</x:v>
      </x:c>
      <x:c r="B1" s="4" t="str">
        <x:v>Guide, Assumptions &amp; Audit Boundary</x:v>
      </x:c>
      <x:c r="C1" s="4" t="str">
        <x:v>Guide, Assumptions &amp; Audit Boundary</x:v>
      </x:c>
      <x:c r="D1" s="4" t="str">
        <x:v>Guide, Assumptions &amp; Audit Boundary</x:v>
      </x:c>
      <x:c r="E1" s="4" t="str">
        <x:v>Guide, Assumptions &amp; Audit Boundary</x:v>
      </x:c>
      <x:c r="F1" s="4" t="str">
        <x:v>Guide, Assumptions &amp; Audit Boundary</x:v>
      </x:c>
      <x:c r="G1" s="4" t="str">
        <x:v>Guide, Assumptions &amp; Audit Boundary</x:v>
      </x:c>
      <x:c r="H1" s="4" t="str">
        <x:v>Guide, Assumptions &amp; Audit Boundary</x:v>
      </x:c>
    </x:row>
    <x:row r="2" ht="34" customHeight="1">
      <x:c r="A2" s="4" t="str">
        <x:v>Guide, Assumptions &amp; Audit Boundary</x:v>
      </x:c>
      <x:c r="B2" s="4" t="str">
        <x:v>Guide, Assumptions &amp; Audit Boundary</x:v>
      </x:c>
      <x:c r="C2" s="4" t="str">
        <x:v>Guide, Assumptions &amp; Audit Boundary</x:v>
      </x:c>
      <x:c r="D2" s="4" t="str">
        <x:v>Guide, Assumptions &amp; Audit Boundary</x:v>
      </x:c>
      <x:c r="E2" s="4" t="str">
        <x:v>Guide, Assumptions &amp; Audit Boundary</x:v>
      </x:c>
      <x:c r="F2" s="4" t="str">
        <x:v>Guide, Assumptions &amp; Audit Boundary</x:v>
      </x:c>
      <x:c r="G2" s="4" t="str">
        <x:v>Guide, Assumptions &amp; Audit Boundary</x:v>
      </x:c>
      <x:c r="H2" s="4" t="str">
        <x:v>Guide, Assumptions &amp; Audit Boundary</x:v>
      </x:c>
    </x:row>
    <x:row r="3" ht="32" customHeight="1">
      <x:c r="A3" s="8" t="str">
        <x:v>This workbook is a synthetic capability proof. It does not represent prior customer work or a live production inventory.</x:v>
      </x:c>
      <x:c r="B3" s="8" t="str">
        <x:v>This workbook is a synthetic capability proof. It does not represent prior customer work or a live production inventory.</x:v>
      </x:c>
      <x:c r="C3" s="8" t="str">
        <x:v>This workbook is a synthetic capability proof. It does not represent prior customer work or a live production inventory.</x:v>
      </x:c>
      <x:c r="D3" s="8" t="str">
        <x:v>This workbook is a synthetic capability proof. It does not represent prior customer work or a live production inventory.</x:v>
      </x:c>
      <x:c r="E3" s="8" t="str">
        <x:v>This workbook is a synthetic capability proof. It does not represent prior customer work or a live production inventory.</x:v>
      </x:c>
      <x:c r="F3" s="8" t="str">
        <x:v>This workbook is a synthetic capability proof. It does not represent prior customer work or a live production inventory.</x:v>
      </x:c>
      <x:c r="G3" s="8" t="str">
        <x:v>This workbook is a synthetic capability proof. It does not represent prior customer work or a live production inventory.</x:v>
      </x:c>
      <x:c r="H3" s="8" t="str">
        <x:v>This workbook is a synthetic capability proof. It does not represent prior customer work or a live production inventory.</x:v>
      </x:c>
    </x:row>
    <x:row r="5">
      <x:c r="A5" s="103" t="str">
        <x:v>As-of date</x:v>
      </x:c>
      <x:c r="B5" s="104" t="n">
        <x:v>46228</x:v>
      </x:c>
      <x:c r="D5" s="55" t="str">
        <x:v>Change the as-of date to recalculate age and expiry states across the workbook.</x:v>
      </x:c>
      <x:c r="E5" s="55"/>
      <x:c r="F5" s="55"/>
      <x:c r="G5" s="55"/>
      <x:c r="H5" s="55"/>
    </x:row>
    <x:row r="7">
      <x:c r="A7" s="34" t="str">
        <x:v>Purpose</x:v>
      </x:c>
      <x:c r="B7" s="34" t="str">
        <x:v>Purpose</x:v>
      </x:c>
      <x:c r="C7" s="34" t="str">
        <x:v>Purpose</x:v>
      </x:c>
      <x:c r="D7" s="34" t="str">
        <x:v>Purpose</x:v>
      </x:c>
      <x:c r="E7" s="34" t="str">
        <x:v>Purpose</x:v>
      </x:c>
      <x:c r="F7" s="34" t="str">
        <x:v>Purpose</x:v>
      </x:c>
      <x:c r="G7" s="34" t="str">
        <x:v>Purpose</x:v>
      </x:c>
      <x:c r="H7" s="34" t="str">
        <x:v>Purpose</x:v>
      </x:c>
    </x:row>
    <x:row r="8">
      <x:c r="A8" s="106" t="str">
        <x:v>Demonstrates item-master rules, batch-level quantities, expiry monitoring, reorder flags and a concise overview. All data is fictional and no live store, supplier, customer, payment, or accounting system is connected.</x:v>
      </x:c>
      <x:c r="B8" s="106"/>
      <x:c r="C8" s="106"/>
      <x:c r="D8" s="106"/>
      <x:c r="E8" s="106"/>
      <x:c r="F8" s="106"/>
      <x:c r="G8" s="106"/>
      <x:c r="H8" s="106"/>
    </x:row>
    <x:row r="9">
      <x:c r="A9" s="106"/>
      <x:c r="B9" s="106"/>
      <x:c r="C9" s="106"/>
      <x:c r="D9" s="106"/>
      <x:c r="E9" s="106"/>
      <x:c r="F9" s="106"/>
      <x:c r="G9" s="106"/>
      <x:c r="H9" s="106"/>
    </x:row>
    <x:row r="11">
      <x:c r="A11" s="34" t="str">
        <x:v>How to use</x:v>
      </x:c>
      <x:c r="B11" s="34" t="str">
        <x:v>How to use</x:v>
      </x:c>
      <x:c r="C11" s="34" t="str">
        <x:v>How to use</x:v>
      </x:c>
      <x:c r="D11" s="34" t="str">
        <x:v>How to use</x:v>
      </x:c>
      <x:c r="E11" s="34" t="str">
        <x:v>How to use</x:v>
      </x:c>
      <x:c r="F11" s="34" t="str">
        <x:v>How to use</x:v>
      </x:c>
      <x:c r="G11" s="34" t="str">
        <x:v>How to use</x:v>
      </x:c>
      <x:c r="H11" s="34" t="str">
        <x:v>How to use</x:v>
      </x:c>
    </x:row>
    <x:row r="12" ht="30" customHeight="1">
      <x:c r="A12" s="119" t="str">
        <x:v>1</x:v>
      </x:c>
      <x:c r="B12" s="125" t="str">
        <x:v>Approve fields</x:v>
      </x:c>
      <x:c r="C12" s="110" t="str">
        <x:v>Confirm SKU, units, date rules, reorder points and target stock before replacing sample data.</x:v>
      </x:c>
      <x:c r="D12" s="110" t="str"/>
      <x:c r="E12" s="110" t="str"/>
      <x:c r="F12" s="110" t="str"/>
      <x:c r="G12" s="110" t="str"/>
      <x:c r="H12" s="110" t="str"/>
    </x:row>
    <x:row r="13" ht="30" customHeight="1">
      <x:c r="A13" s="120" t="str">
        <x:v>2</x:v>
      </x:c>
      <x:c r="B13" s="126" t="str">
        <x:v>Maintain item master</x:v>
      </x:c>
      <x:c r="C13" s="111" t="str">
        <x:v>Edit blue cells on Items; formula outputs remain grey.</x:v>
      </x:c>
      <x:c r="D13" s="111" t="str"/>
      <x:c r="E13" s="111" t="str"/>
      <x:c r="F13" s="111" t="str"/>
      <x:c r="G13" s="111" t="str"/>
      <x:c r="H13" s="111" t="str"/>
    </x:row>
    <x:row r="14" ht="30" customHeight="1">
      <x:c r="A14" s="120" t="str">
        <x:v>3</x:v>
      </x:c>
      <x:c r="B14" s="126" t="str">
        <x:v>Append batch rows</x:v>
      </x:c>
      <x:c r="C14" s="111" t="str">
        <x:v>Enter one authorized batch per row and select an existing SKU.</x:v>
      </x:c>
      <x:c r="D14" s="111" t="str"/>
      <x:c r="E14" s="111" t="str"/>
      <x:c r="F14" s="111" t="str"/>
      <x:c r="G14" s="111" t="str"/>
      <x:c r="H14" s="111" t="str"/>
    </x:row>
    <x:row r="15" ht="30" customHeight="1">
      <x:c r="A15" s="120" t="str">
        <x:v>4</x:v>
      </x:c>
      <x:c r="B15" s="126" t="str">
        <x:v>Record usage</x:v>
      </x:c>
      <x:c r="C15" s="111" t="str">
        <x:v>Update Qty Used; Qty On Hand, age and expiry status recalculate.</x:v>
      </x:c>
      <x:c r="D15" s="111" t="str"/>
      <x:c r="E15" s="111" t="str"/>
      <x:c r="F15" s="111" t="str"/>
      <x:c r="G15" s="111" t="str"/>
      <x:c r="H15" s="111" t="str"/>
    </x:row>
    <x:row r="16" ht="30" customHeight="1">
      <x:c r="A16" s="121" t="str">
        <x:v>5</x:v>
      </x:c>
      <x:c r="B16" s="127" t="str">
        <x:v>Review exceptions</x:v>
      </x:c>
      <x:c r="C16" s="112" t="str">
        <x:v>Use Overview, reorder flags and expiry states; never force a mismatch to zero.</x:v>
      </x:c>
      <x:c r="D16" s="112" t="str"/>
      <x:c r="E16" s="112" t="str"/>
      <x:c r="F16" s="112" t="str"/>
      <x:c r="G16" s="112" t="str"/>
      <x:c r="H16" s="112" t="str"/>
    </x:row>
    <x:row r="18">
      <x:c r="A18" s="34" t="str">
        <x:v>Formula map</x:v>
      </x:c>
      <x:c r="B18" s="34" t="str">
        <x:v>Formula map</x:v>
      </x:c>
      <x:c r="C18" s="34" t="str">
        <x:v>Formula map</x:v>
      </x:c>
      <x:c r="D18" s="34" t="str">
        <x:v>Formula map</x:v>
      </x:c>
      <x:c r="E18" s="34" t="str">
        <x:v>Formula map</x:v>
      </x:c>
      <x:c r="F18" s="34" t="str">
        <x:v>Formula map</x:v>
      </x:c>
      <x:c r="G18" s="34" t="str">
        <x:v>Formula map</x:v>
      </x:c>
      <x:c r="H18" s="34" t="str">
        <x:v>Formula map</x:v>
      </x:c>
    </x:row>
    <x:row r="19" ht="32" customHeight="1">
      <x:c r="A19" s="38" t="str">
        <x:v>Output</x:v>
      </x:c>
      <x:c r="B19" s="38" t="str">
        <x:v>Formula role</x:v>
      </x:c>
      <x:c r="C19" s="38" t="str">
        <x:v>Source</x:v>
      </x:c>
      <x:c r="D19" s="38" t="str"/>
      <x:c r="E19" s="38" t="str"/>
      <x:c r="F19" s="38" t="str"/>
      <x:c r="G19" s="38" t="str"/>
      <x:c r="H19" s="38" t="str"/>
    </x:row>
    <x:row r="20" ht="26" customHeight="1">
      <x:c r="A20" s="110" t="str">
        <x:v>Items · On Hand</x:v>
      </x:c>
      <x:c r="B20" s="110" t="str">
        <x:v>SUMIF batch on-hand by SKU</x:v>
      </x:c>
      <x:c r="C20" s="110" t="str">
        <x:v>Batch Ledger</x:v>
      </x:c>
      <x:c r="D20" s="110" t="str"/>
      <x:c r="E20" s="110" t="str"/>
      <x:c r="F20" s="110" t="str"/>
      <x:c r="G20" s="110" t="str"/>
      <x:c r="H20" s="110" t="str"/>
    </x:row>
    <x:row r="21" ht="26" customHeight="1">
      <x:c r="A21" s="111" t="str">
        <x:v>Items · Stock Status</x:v>
      </x:c>
      <x:c r="B21" s="111" t="str">
        <x:v>Compares on-hand with reorder point and target stock</x:v>
      </x:c>
      <x:c r="C21" s="111" t="str">
        <x:v>Items</x:v>
      </x:c>
      <x:c r="D21" s="111" t="str"/>
      <x:c r="E21" s="111" t="str"/>
      <x:c r="F21" s="111" t="str"/>
      <x:c r="G21" s="111" t="str"/>
      <x:c r="H21" s="111" t="str"/>
    </x:row>
    <x:row r="22" ht="26" customHeight="1">
      <x:c r="A22" s="111" t="str">
        <x:v>Items · Next Expiry</x:v>
      </x:c>
      <x:c r="B22" s="111" t="str">
        <x:v>MINIFS active batch expiry by SKU</x:v>
      </x:c>
      <x:c r="C22" s="111" t="str">
        <x:v>Batch Ledger</x:v>
      </x:c>
      <x:c r="D22" s="111" t="str"/>
      <x:c r="E22" s="111" t="str"/>
      <x:c r="F22" s="111" t="str"/>
      <x:c r="G22" s="111" t="str"/>
      <x:c r="H22" s="111" t="str"/>
    </x:row>
    <x:row r="23" ht="26" customHeight="1">
      <x:c r="A23" s="112" t="str">
        <x:v>Batch · Expiry Status</x:v>
      </x:c>
      <x:c r="B23" s="112" t="str">
        <x:v>Classifies closed, expired, expiring and current lots</x:v>
      </x:c>
      <x:c r="C23" s="112" t="str">
        <x:v>Guide as-of date</x:v>
      </x:c>
      <x:c r="D23" s="112" t="str"/>
      <x:c r="E23" s="112" t="str"/>
      <x:c r="F23" s="112" t="str"/>
      <x:c r="G23" s="112" t="str"/>
      <x:c r="H23" s="112" t="str"/>
    </x:row>
    <x:row r="25">
      <x:c r="A25" s="34" t="str">
        <x:v>Deployment boundary</x:v>
      </x:c>
      <x:c r="B25" s="34" t="str">
        <x:v>Deployment boundary</x:v>
      </x:c>
      <x:c r="C25" s="34" t="str">
        <x:v>Deployment boundary</x:v>
      </x:c>
      <x:c r="D25" s="34" t="str">
        <x:v>Deployment boundary</x:v>
      </x:c>
      <x:c r="E25" s="34" t="str">
        <x:v>Deployment boundary</x:v>
      </x:c>
      <x:c r="F25" s="34" t="str">
        <x:v>Deployment boundary</x:v>
      </x:c>
      <x:c r="G25" s="34" t="str">
        <x:v>Deployment boundary</x:v>
      </x:c>
      <x:c r="H25" s="34" t="str">
        <x:v>Deployment boundary</x:v>
      </x:c>
    </x:row>
    <x:row r="26">
      <x:c r="A26" s="147" t="str">
        <x:v>Before production use, the buyer must approve the final schema, units, reorder policy, user roles and access path. Formula cells are visibly separated but sheet protection is not enabled in this proof because the editable range and owner permissions are not yet confirmed. No macros, scripts, external links or customer data are embedded in the workbook.</x:v>
      </x:c>
      <x:c r="B26" s="148"/>
      <x:c r="C26" s="148"/>
      <x:c r="D26" s="148"/>
      <x:c r="E26" s="148"/>
      <x:c r="F26" s="148"/>
      <x:c r="G26" s="148"/>
      <x:c r="H26" s="149"/>
    </x:row>
    <x:row r="27">
      <x:c r="A27" s="150"/>
      <x:c r="B27" s="151"/>
      <x:c r="C27" s="151"/>
      <x:c r="D27" s="151"/>
      <x:c r="E27" s="151"/>
      <x:c r="F27" s="151"/>
      <x:c r="G27" s="151"/>
      <x:c r="H27" s="152"/>
    </x:row>
    <x:row r="28">
      <x:c r="A28" s="150"/>
      <x:c r="B28" s="151"/>
      <x:c r="C28" s="151"/>
      <x:c r="D28" s="151"/>
      <x:c r="E28" s="151"/>
      <x:c r="F28" s="151"/>
      <x:c r="G28" s="151"/>
      <x:c r="H28" s="152"/>
    </x:row>
    <x:row r="29">
      <x:c r="A29" s="153"/>
      <x:c r="B29" s="154"/>
      <x:c r="C29" s="154"/>
      <x:c r="D29" s="154"/>
      <x:c r="E29" s="154"/>
      <x:c r="F29" s="154"/>
      <x:c r="G29" s="154"/>
      <x:c r="H29" s="155"/>
    </x:row>
  </x:sheetData>
  <x:mergeCells>
    <x:mergeCell ref="A1:H2"/>
    <x:mergeCell ref="A3:H3"/>
    <x:mergeCell ref="D5:H5"/>
    <x:mergeCell ref="A7:H7"/>
    <x:mergeCell ref="A11:H11"/>
    <x:mergeCell ref="A18:H18"/>
    <x:mergeCell ref="A25:H25"/>
    <x:mergeCell ref="A8:H9"/>
    <x:mergeCell ref="C12:H12"/>
    <x:mergeCell ref="C13:H13"/>
    <x:mergeCell ref="C14:H14"/>
    <x:mergeCell ref="C15:H15"/>
    <x:mergeCell ref="C16:H16"/>
    <x:mergeCell ref="C19:H19"/>
    <x:mergeCell ref="C20:H20"/>
    <x:mergeCell ref="C21:H21"/>
    <x:mergeCell ref="C22:H22"/>
    <x:mergeCell ref="C23:H23"/>
    <x:mergeCell ref="A26:H29"/>
  </x:mergeCells>
  <x:pageMargins left="0.7" right="0.7" top="0.75" bottom="0.75" header="0.3" footer="0.3"/>
</x:worksheet>
</file>